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os\"/>
    </mc:Choice>
  </mc:AlternateContent>
  <xr:revisionPtr revIDLastSave="0" documentId="13_ncr:1_{D4308F0B-8DF0-4F1A-9290-760080DC9CAE}" xr6:coauthVersionLast="47" xr6:coauthVersionMax="47" xr10:uidLastSave="{00000000-0000-0000-0000-000000000000}"/>
  <bookViews>
    <workbookView xWindow="-120" yWindow="-120" windowWidth="20730" windowHeight="11040" activeTab="2" xr2:uid="{FA5C55CA-5F35-46F1-8231-DFBE4C36EB1F}"/>
  </bookViews>
  <sheets>
    <sheet name="Calendario 1" sheetId="1" r:id="rId1"/>
    <sheet name="M052931 20NOV20" sheetId="2" r:id="rId2"/>
    <sheet name="Clase 19 de junio" sheetId="4" r:id="rId3"/>
    <sheet name="Bonos M" sheetId="3" r:id="rId4"/>
    <sheet name="mi1rachamba" sheetId="5" r:id="rId5"/>
  </sheets>
  <functionGroups builtInGroupCount="19"/>
  <definedNames>
    <definedName name="m">'Clase 19 de junio'!$C$15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4" l="1"/>
  <c r="R7" i="4"/>
  <c r="O7" i="4"/>
  <c r="C13" i="4"/>
  <c r="C9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C12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K2" i="2"/>
  <c r="K3" i="2"/>
  <c r="K4" i="2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45" i="4"/>
  <c r="N1446" i="4"/>
  <c r="N1447" i="4"/>
  <c r="N1448" i="4"/>
  <c r="N1449" i="4"/>
  <c r="N1450" i="4"/>
  <c r="N1451" i="4"/>
  <c r="N1452" i="4"/>
  <c r="N1453" i="4"/>
  <c r="N1454" i="4"/>
  <c r="N1455" i="4"/>
  <c r="N1456" i="4"/>
  <c r="N1457" i="4"/>
  <c r="N1458" i="4"/>
  <c r="N1459" i="4"/>
  <c r="N1460" i="4"/>
  <c r="N1461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1792" i="4"/>
  <c r="N1793" i="4"/>
  <c r="N1794" i="4"/>
  <c r="N1795" i="4"/>
  <c r="N1796" i="4"/>
  <c r="N1797" i="4"/>
  <c r="N1798" i="4"/>
  <c r="N1799" i="4"/>
  <c r="N1800" i="4"/>
  <c r="N1801" i="4"/>
  <c r="N1802" i="4"/>
  <c r="N1803" i="4"/>
  <c r="N1804" i="4"/>
  <c r="N1805" i="4"/>
  <c r="N1806" i="4"/>
  <c r="N1807" i="4"/>
  <c r="N1808" i="4"/>
  <c r="N1809" i="4"/>
  <c r="N1810" i="4"/>
  <c r="N1811" i="4"/>
  <c r="N1812" i="4"/>
  <c r="N1813" i="4"/>
  <c r="N1814" i="4"/>
  <c r="N1815" i="4"/>
  <c r="N1816" i="4"/>
  <c r="N1817" i="4"/>
  <c r="N1818" i="4"/>
  <c r="N1819" i="4"/>
  <c r="N1820" i="4"/>
  <c r="N1821" i="4"/>
  <c r="N1822" i="4"/>
  <c r="N1823" i="4"/>
  <c r="N1824" i="4"/>
  <c r="N1825" i="4"/>
  <c r="N1826" i="4"/>
  <c r="N1827" i="4"/>
  <c r="N1828" i="4"/>
  <c r="N1829" i="4"/>
  <c r="N1830" i="4"/>
  <c r="N1831" i="4"/>
  <c r="N1832" i="4"/>
  <c r="N1833" i="4"/>
  <c r="N1834" i="4"/>
  <c r="N1835" i="4"/>
  <c r="N1836" i="4"/>
  <c r="N1837" i="4"/>
  <c r="N1838" i="4"/>
  <c r="N1839" i="4"/>
  <c r="N1840" i="4"/>
  <c r="N1841" i="4"/>
  <c r="N1842" i="4"/>
  <c r="N1843" i="4"/>
  <c r="N1844" i="4"/>
  <c r="N1845" i="4"/>
  <c r="N1846" i="4"/>
  <c r="N1847" i="4"/>
  <c r="N1848" i="4"/>
  <c r="N1849" i="4"/>
  <c r="N1850" i="4"/>
  <c r="N1851" i="4"/>
  <c r="N1852" i="4"/>
  <c r="N1853" i="4"/>
  <c r="J2" i="2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I2" i="2"/>
  <c r="I3" i="2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H2" i="2"/>
  <c r="C10" i="4"/>
  <c r="G15" i="4"/>
  <c r="G9" i="4"/>
  <c r="L9" i="4" s="1"/>
  <c r="G6" i="4"/>
  <c r="H6" i="4" s="1"/>
  <c r="G7" i="4"/>
  <c r="G8" i="4"/>
  <c r="G13" i="4"/>
  <c r="L13" i="4" s="1"/>
  <c r="G21" i="4"/>
  <c r="L21" i="4" s="1"/>
  <c r="G23" i="4"/>
  <c r="G24" i="4"/>
  <c r="G28" i="4"/>
  <c r="G29" i="4"/>
  <c r="L29" i="4" s="1"/>
  <c r="G31" i="4"/>
  <c r="G37" i="4"/>
  <c r="L37" i="4" s="1"/>
  <c r="G39" i="4"/>
  <c r="G40" i="4"/>
  <c r="G44" i="4"/>
  <c r="G45" i="4"/>
  <c r="L45" i="4" s="1"/>
  <c r="G47" i="4"/>
  <c r="G53" i="4"/>
  <c r="L53" i="4" s="1"/>
  <c r="G55" i="4"/>
  <c r="G56" i="4"/>
  <c r="G60" i="4"/>
  <c r="G61" i="4"/>
  <c r="L61" i="4" s="1"/>
  <c r="G63" i="4"/>
  <c r="B18" i="2"/>
  <c r="B19" i="2"/>
  <c r="B9" i="2"/>
  <c r="B3" i="2"/>
  <c r="B27" i="2"/>
  <c r="B26" i="2"/>
  <c r="B25" i="2"/>
  <c r="V3" i="4"/>
  <c r="W3" i="4"/>
  <c r="L28" i="4" l="1"/>
  <c r="L8" i="4"/>
  <c r="L60" i="4"/>
  <c r="L40" i="4"/>
  <c r="L56" i="4"/>
  <c r="L44" i="4"/>
  <c r="L55" i="4"/>
  <c r="L31" i="4"/>
  <c r="L7" i="4"/>
  <c r="L63" i="4"/>
  <c r="L47" i="4"/>
  <c r="L39" i="4"/>
  <c r="L23" i="4"/>
  <c r="L15" i="4"/>
  <c r="L24" i="4"/>
  <c r="G52" i="4"/>
  <c r="G36" i="4"/>
  <c r="G16" i="4"/>
  <c r="G64" i="4"/>
  <c r="G48" i="4"/>
  <c r="G32" i="4"/>
  <c r="G62" i="4"/>
  <c r="G54" i="4"/>
  <c r="G46" i="4"/>
  <c r="G38" i="4"/>
  <c r="G30" i="4"/>
  <c r="G22" i="4"/>
  <c r="G14" i="4"/>
  <c r="G20" i="4"/>
  <c r="G12" i="4"/>
  <c r="G59" i="4"/>
  <c r="G51" i="4"/>
  <c r="G43" i="4"/>
  <c r="G35" i="4"/>
  <c r="G27" i="4"/>
  <c r="G19" i="4"/>
  <c r="G11" i="4"/>
  <c r="G58" i="4"/>
  <c r="G50" i="4"/>
  <c r="G42" i="4"/>
  <c r="G34" i="4"/>
  <c r="G26" i="4"/>
  <c r="G18" i="4"/>
  <c r="G10" i="4"/>
  <c r="G65" i="4"/>
  <c r="G57" i="4"/>
  <c r="G49" i="4"/>
  <c r="G41" i="4"/>
  <c r="G33" i="4"/>
  <c r="G25" i="4"/>
  <c r="G17" i="4"/>
  <c r="I6" i="4"/>
  <c r="H7" i="4" s="1"/>
  <c r="P7" i="4" s="1"/>
  <c r="E24" i="2"/>
  <c r="B17" i="2"/>
  <c r="J7" i="4" l="1"/>
  <c r="R65" i="4"/>
  <c r="Q65" i="4"/>
  <c r="P65" i="4"/>
  <c r="O65" i="4"/>
  <c r="N65" i="4"/>
  <c r="M7" i="4"/>
  <c r="N7" i="4" s="1"/>
  <c r="L17" i="4"/>
  <c r="L22" i="4"/>
  <c r="L26" i="4"/>
  <c r="L16" i="4"/>
  <c r="L33" i="4"/>
  <c r="L38" i="4"/>
  <c r="L51" i="4"/>
  <c r="L59" i="4"/>
  <c r="L27" i="4"/>
  <c r="L25" i="4"/>
  <c r="L30" i="4"/>
  <c r="L43" i="4"/>
  <c r="L41" i="4"/>
  <c r="L46" i="4"/>
  <c r="L49" i="4"/>
  <c r="L58" i="4"/>
  <c r="L12" i="4"/>
  <c r="I65" i="4"/>
  <c r="K65" i="4"/>
  <c r="M65" i="4"/>
  <c r="L65" i="4"/>
  <c r="J65" i="4"/>
  <c r="L11" i="4"/>
  <c r="L20" i="4"/>
  <c r="L32" i="4"/>
  <c r="L18" i="4"/>
  <c r="L64" i="4"/>
  <c r="L35" i="4"/>
  <c r="L34" i="4"/>
  <c r="L36" i="4"/>
  <c r="L42" i="4"/>
  <c r="L52" i="4"/>
  <c r="L50" i="4"/>
  <c r="L54" i="4"/>
  <c r="L57" i="4"/>
  <c r="L62" i="4"/>
  <c r="L10" i="4"/>
  <c r="L19" i="4"/>
  <c r="L14" i="4"/>
  <c r="L48" i="4"/>
  <c r="H65" i="4"/>
  <c r="I7" i="4"/>
  <c r="H8" i="4" s="1"/>
  <c r="P8" i="4" s="1"/>
  <c r="K7" i="4"/>
  <c r="E23" i="2"/>
  <c r="Q7" i="4" l="1"/>
  <c r="J8" i="4"/>
  <c r="M8" i="4"/>
  <c r="N8" i="4" s="1"/>
  <c r="K8" i="4"/>
  <c r="O8" i="4" s="1"/>
  <c r="I8" i="4"/>
  <c r="H9" i="4"/>
  <c r="E22" i="2"/>
  <c r="F24" i="2"/>
  <c r="H24" i="2" s="1"/>
  <c r="X2" i="4"/>
  <c r="C5" i="4" s="1"/>
  <c r="B2" i="4"/>
  <c r="O2" i="4"/>
  <c r="C2" i="4"/>
  <c r="D2" i="4"/>
  <c r="E2" i="4"/>
  <c r="F2" i="4"/>
  <c r="G2" i="4"/>
  <c r="H2" i="4"/>
  <c r="I2" i="4"/>
  <c r="J2" i="4"/>
  <c r="K2" i="4"/>
  <c r="L2" i="4"/>
  <c r="M2" i="4"/>
  <c r="N2" i="4"/>
  <c r="P2" i="4"/>
  <c r="Q2" i="4"/>
  <c r="R2" i="4"/>
  <c r="S2" i="4"/>
  <c r="T2" i="4"/>
  <c r="U2" i="4"/>
  <c r="V2" i="4"/>
  <c r="W2" i="4"/>
  <c r="Y2" i="4"/>
  <c r="Z2" i="4"/>
  <c r="AA2" i="4"/>
  <c r="AB2" i="4"/>
  <c r="C6" i="4" s="1"/>
  <c r="AC2" i="4"/>
  <c r="AD2" i="4"/>
  <c r="AE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3" i="3"/>
  <c r="R8" i="4" l="1"/>
  <c r="Q8" i="4"/>
  <c r="M9" i="4"/>
  <c r="N9" i="4" s="1"/>
  <c r="P9" i="4"/>
  <c r="K9" i="4"/>
  <c r="I9" i="4"/>
  <c r="J9" i="4"/>
  <c r="H10" i="4"/>
  <c r="E21" i="2"/>
  <c r="F22" i="2"/>
  <c r="H22" i="2" s="1"/>
  <c r="F23" i="2"/>
  <c r="H23" i="2" s="1"/>
  <c r="C8" i="4"/>
  <c r="C11" i="4" s="1"/>
  <c r="H3" i="4"/>
  <c r="J3" i="4"/>
  <c r="I3" i="4"/>
  <c r="Q9" i="4" l="1"/>
  <c r="M10" i="4"/>
  <c r="N10" i="4" s="1"/>
  <c r="P10" i="4"/>
  <c r="O9" i="4"/>
  <c r="R9" i="4" s="1"/>
  <c r="K10" i="4"/>
  <c r="I10" i="4"/>
  <c r="H11" i="4" s="1"/>
  <c r="J10" i="4"/>
  <c r="E20" i="2"/>
  <c r="B15" i="2"/>
  <c r="Q10" i="4" l="1"/>
  <c r="M11" i="4"/>
  <c r="N11" i="4" s="1"/>
  <c r="P11" i="4"/>
  <c r="O10" i="4"/>
  <c r="R10" i="4" s="1"/>
  <c r="K11" i="4"/>
  <c r="I11" i="4"/>
  <c r="J11" i="4"/>
  <c r="H12" i="4"/>
  <c r="P12" i="4" s="1"/>
  <c r="E19" i="2"/>
  <c r="F20" i="2"/>
  <c r="H20" i="2" s="1"/>
  <c r="F21" i="2"/>
  <c r="H21" i="2" s="1"/>
  <c r="Q11" i="4" l="1"/>
  <c r="O11" i="4"/>
  <c r="R11" i="4" s="1"/>
  <c r="I12" i="4"/>
  <c r="H13" i="4" s="1"/>
  <c r="P13" i="4" s="1"/>
  <c r="K12" i="4"/>
  <c r="Q12" i="4" s="1"/>
  <c r="J12" i="4"/>
  <c r="M12" i="4"/>
  <c r="N12" i="4" s="1"/>
  <c r="E18" i="2"/>
  <c r="F19" i="2"/>
  <c r="H19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2" i="1"/>
  <c r="I42" i="1"/>
  <c r="H2" i="1"/>
  <c r="E42" i="1"/>
  <c r="E41" i="1" s="1"/>
  <c r="I41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B9" i="1"/>
  <c r="B3" i="1"/>
  <c r="B13" i="1" s="1"/>
  <c r="O12" i="4" l="1"/>
  <c r="R12" i="4" s="1"/>
  <c r="I13" i="4"/>
  <c r="J13" i="4"/>
  <c r="K13" i="4"/>
  <c r="O13" i="4" s="1"/>
  <c r="M13" i="4"/>
  <c r="N13" i="4" s="1"/>
  <c r="R13" i="4" s="1"/>
  <c r="H14" i="4"/>
  <c r="P14" i="4" s="1"/>
  <c r="E17" i="2"/>
  <c r="F18" i="2"/>
  <c r="H18" i="2" s="1"/>
  <c r="I24" i="2"/>
  <c r="J24" i="2" s="1"/>
  <c r="I23" i="2"/>
  <c r="J23" i="2" s="1"/>
  <c r="B13" i="2"/>
  <c r="E40" i="1"/>
  <c r="I40" i="1" s="1"/>
  <c r="F42" i="1"/>
  <c r="H42" i="1" s="1"/>
  <c r="K2" i="1"/>
  <c r="Q14" i="4" l="1"/>
  <c r="Q13" i="4"/>
  <c r="M14" i="4"/>
  <c r="N14" i="4" s="1"/>
  <c r="J14" i="4"/>
  <c r="I14" i="4"/>
  <c r="K14" i="4"/>
  <c r="O14" i="4" s="1"/>
  <c r="H15" i="4"/>
  <c r="P15" i="4" s="1"/>
  <c r="E16" i="2"/>
  <c r="F17" i="2" s="1"/>
  <c r="H17" i="2" s="1"/>
  <c r="I22" i="2"/>
  <c r="J22" i="2" s="1"/>
  <c r="F41" i="1"/>
  <c r="H41" i="1" s="1"/>
  <c r="E39" i="1"/>
  <c r="I39" i="1" s="1"/>
  <c r="Q15" i="4" l="1"/>
  <c r="R14" i="4"/>
  <c r="K15" i="4"/>
  <c r="J15" i="4"/>
  <c r="I15" i="4"/>
  <c r="M15" i="4"/>
  <c r="N15" i="4" s="1"/>
  <c r="H16" i="4"/>
  <c r="P16" i="4" s="1"/>
  <c r="E15" i="2"/>
  <c r="I21" i="2"/>
  <c r="J21" i="2" s="1"/>
  <c r="F40" i="1"/>
  <c r="H40" i="1" s="1"/>
  <c r="E38" i="1"/>
  <c r="O15" i="4" l="1"/>
  <c r="R15" i="4" s="1"/>
  <c r="M16" i="4"/>
  <c r="N16" i="4" s="1"/>
  <c r="J16" i="4"/>
  <c r="I16" i="4"/>
  <c r="K16" i="4"/>
  <c r="O16" i="4" s="1"/>
  <c r="H17" i="4"/>
  <c r="P17" i="4" s="1"/>
  <c r="E14" i="2"/>
  <c r="F15" i="2"/>
  <c r="H15" i="2" s="1"/>
  <c r="F16" i="2"/>
  <c r="H16" i="2" s="1"/>
  <c r="I20" i="2"/>
  <c r="J20" i="2" s="1"/>
  <c r="F39" i="1"/>
  <c r="H39" i="1" s="1"/>
  <c r="I38" i="1"/>
  <c r="E37" i="1"/>
  <c r="Q17" i="4" l="1"/>
  <c r="R16" i="4"/>
  <c r="Q16" i="4"/>
  <c r="I17" i="4"/>
  <c r="H18" i="4" s="1"/>
  <c r="P18" i="4" s="1"/>
  <c r="M17" i="4"/>
  <c r="N17" i="4" s="1"/>
  <c r="K17" i="4"/>
  <c r="J17" i="4"/>
  <c r="E13" i="2"/>
  <c r="I19" i="2"/>
  <c r="J19" i="2" s="1"/>
  <c r="F38" i="1"/>
  <c r="H38" i="1" s="1"/>
  <c r="I37" i="1"/>
  <c r="E36" i="1"/>
  <c r="I36" i="1" s="1"/>
  <c r="R17" i="4" l="1"/>
  <c r="O17" i="4"/>
  <c r="K18" i="4"/>
  <c r="Q18" i="4" s="1"/>
  <c r="I18" i="4"/>
  <c r="M18" i="4"/>
  <c r="N18" i="4" s="1"/>
  <c r="J18" i="4"/>
  <c r="H19" i="4"/>
  <c r="P19" i="4" s="1"/>
  <c r="E12" i="2"/>
  <c r="F13" i="2"/>
  <c r="H13" i="2" s="1"/>
  <c r="F14" i="2"/>
  <c r="H14" i="2" s="1"/>
  <c r="I18" i="2"/>
  <c r="J18" i="2" s="1"/>
  <c r="E35" i="1"/>
  <c r="I35" i="1" s="1"/>
  <c r="F36" i="1"/>
  <c r="H36" i="1" s="1"/>
  <c r="F37" i="1"/>
  <c r="H37" i="1" s="1"/>
  <c r="O18" i="4" l="1"/>
  <c r="R18" i="4" s="1"/>
  <c r="M19" i="4"/>
  <c r="N19" i="4" s="1"/>
  <c r="I19" i="4"/>
  <c r="J19" i="4"/>
  <c r="K19" i="4"/>
  <c r="O19" i="4" s="1"/>
  <c r="H20" i="4"/>
  <c r="P20" i="4" s="1"/>
  <c r="E11" i="2"/>
  <c r="I17" i="2"/>
  <c r="J17" i="2" s="1"/>
  <c r="E34" i="1"/>
  <c r="I34" i="1" s="1"/>
  <c r="Q20" i="4" l="1"/>
  <c r="R19" i="4"/>
  <c r="Q19" i="4"/>
  <c r="J20" i="4"/>
  <c r="I20" i="4"/>
  <c r="M20" i="4"/>
  <c r="N20" i="4" s="1"/>
  <c r="K20" i="4"/>
  <c r="O20" i="4" s="1"/>
  <c r="H21" i="4"/>
  <c r="P21" i="4" s="1"/>
  <c r="E10" i="2"/>
  <c r="F11" i="2" s="1"/>
  <c r="H11" i="2" s="1"/>
  <c r="F12" i="2"/>
  <c r="H12" i="2" s="1"/>
  <c r="I16" i="2"/>
  <c r="J16" i="2" s="1"/>
  <c r="E33" i="1"/>
  <c r="I33" i="1" s="1"/>
  <c r="F35" i="1"/>
  <c r="H35" i="1" s="1"/>
  <c r="Q21" i="4" l="1"/>
  <c r="R20" i="4"/>
  <c r="I21" i="4"/>
  <c r="H22" i="4" s="1"/>
  <c r="P22" i="4" s="1"/>
  <c r="K21" i="4"/>
  <c r="J21" i="4"/>
  <c r="M21" i="4"/>
  <c r="N21" i="4" s="1"/>
  <c r="E9" i="2"/>
  <c r="F10" i="2"/>
  <c r="H10" i="2" s="1"/>
  <c r="I15" i="2"/>
  <c r="J15" i="2" s="1"/>
  <c r="E32" i="1"/>
  <c r="I32" i="1" s="1"/>
  <c r="F34" i="1"/>
  <c r="H34" i="1" s="1"/>
  <c r="R21" i="4" l="1"/>
  <c r="O21" i="4"/>
  <c r="I22" i="4"/>
  <c r="H23" i="4" s="1"/>
  <c r="P23" i="4" s="1"/>
  <c r="M22" i="4"/>
  <c r="N22" i="4" s="1"/>
  <c r="K22" i="4"/>
  <c r="Q22" i="4" s="1"/>
  <c r="J22" i="4"/>
  <c r="E8" i="2"/>
  <c r="I14" i="2"/>
  <c r="J14" i="2" s="1"/>
  <c r="E31" i="1"/>
  <c r="I31" i="1" s="1"/>
  <c r="F32" i="1"/>
  <c r="H32" i="1" s="1"/>
  <c r="F33" i="1"/>
  <c r="H33" i="1" s="1"/>
  <c r="R22" i="4" l="1"/>
  <c r="O22" i="4"/>
  <c r="J23" i="4"/>
  <c r="I23" i="4"/>
  <c r="K23" i="4"/>
  <c r="O23" i="4" s="1"/>
  <c r="M23" i="4"/>
  <c r="N23" i="4" s="1"/>
  <c r="R23" i="4" s="1"/>
  <c r="H24" i="4"/>
  <c r="P24" i="4" s="1"/>
  <c r="E7" i="2"/>
  <c r="F8" i="2"/>
  <c r="H8" i="2" s="1"/>
  <c r="F9" i="2"/>
  <c r="H9" i="2" s="1"/>
  <c r="I13" i="2"/>
  <c r="J13" i="2" s="1"/>
  <c r="E30" i="1"/>
  <c r="I30" i="1" s="1"/>
  <c r="Q24" i="4" l="1"/>
  <c r="Q23" i="4"/>
  <c r="J24" i="4"/>
  <c r="I24" i="4"/>
  <c r="K24" i="4"/>
  <c r="O24" i="4" s="1"/>
  <c r="M24" i="4"/>
  <c r="N24" i="4" s="1"/>
  <c r="R24" i="4" s="1"/>
  <c r="H25" i="4"/>
  <c r="P25" i="4" s="1"/>
  <c r="E6" i="2"/>
  <c r="I12" i="2"/>
  <c r="J12" i="2" s="1"/>
  <c r="F31" i="1"/>
  <c r="H31" i="1" s="1"/>
  <c r="E29" i="1"/>
  <c r="I29" i="1" s="1"/>
  <c r="F30" i="1"/>
  <c r="H30" i="1" s="1"/>
  <c r="Q25" i="4" l="1"/>
  <c r="M25" i="4"/>
  <c r="N25" i="4" s="1"/>
  <c r="R25" i="4" s="1"/>
  <c r="J25" i="4"/>
  <c r="I25" i="4"/>
  <c r="K25" i="4"/>
  <c r="O25" i="4" s="1"/>
  <c r="H26" i="4"/>
  <c r="P26" i="4" s="1"/>
  <c r="E5" i="2"/>
  <c r="F6" i="2"/>
  <c r="H6" i="2" s="1"/>
  <c r="F7" i="2"/>
  <c r="H7" i="2" s="1"/>
  <c r="I11" i="2"/>
  <c r="J11" i="2" s="1"/>
  <c r="E28" i="1"/>
  <c r="I28" i="1" s="1"/>
  <c r="F29" i="1"/>
  <c r="H29" i="1" s="1"/>
  <c r="Q26" i="4" l="1"/>
  <c r="M26" i="4"/>
  <c r="N26" i="4" s="1"/>
  <c r="K26" i="4"/>
  <c r="J26" i="4"/>
  <c r="I26" i="4"/>
  <c r="H27" i="4"/>
  <c r="P27" i="4" s="1"/>
  <c r="E4" i="2"/>
  <c r="F5" i="2" s="1"/>
  <c r="H5" i="2" s="1"/>
  <c r="I10" i="2"/>
  <c r="J10" i="2" s="1"/>
  <c r="E27" i="1"/>
  <c r="I27" i="1" s="1"/>
  <c r="F28" i="1"/>
  <c r="H28" i="1" s="1"/>
  <c r="R26" i="4" l="1"/>
  <c r="O26" i="4"/>
  <c r="J27" i="4"/>
  <c r="I27" i="4"/>
  <c r="M27" i="4"/>
  <c r="N27" i="4" s="1"/>
  <c r="K27" i="4"/>
  <c r="O27" i="4" s="1"/>
  <c r="H28" i="4"/>
  <c r="P28" i="4" s="1"/>
  <c r="E3" i="2"/>
  <c r="I9" i="2"/>
  <c r="J9" i="2" s="1"/>
  <c r="E26" i="1"/>
  <c r="I26" i="1" s="1"/>
  <c r="R27" i="4" l="1"/>
  <c r="Q27" i="4"/>
  <c r="M28" i="4"/>
  <c r="N28" i="4" s="1"/>
  <c r="I28" i="4"/>
  <c r="K28" i="4"/>
  <c r="Q28" i="4" s="1"/>
  <c r="J28" i="4"/>
  <c r="H29" i="4"/>
  <c r="P29" i="4" s="1"/>
  <c r="E2" i="2"/>
  <c r="F3" i="2"/>
  <c r="F4" i="2"/>
  <c r="H4" i="2" s="1"/>
  <c r="I8" i="2"/>
  <c r="J8" i="2" s="1"/>
  <c r="E25" i="1"/>
  <c r="I25" i="1" s="1"/>
  <c r="F26" i="1"/>
  <c r="H26" i="1" s="1"/>
  <c r="F27" i="1"/>
  <c r="H27" i="1" s="1"/>
  <c r="R28" i="4" l="1"/>
  <c r="O28" i="4"/>
  <c r="I29" i="4"/>
  <c r="M29" i="4"/>
  <c r="N29" i="4" s="1"/>
  <c r="K29" i="4"/>
  <c r="Q29" i="4" s="1"/>
  <c r="J29" i="4"/>
  <c r="H30" i="4"/>
  <c r="P30" i="4" s="1"/>
  <c r="H3" i="2"/>
  <c r="G3" i="2"/>
  <c r="I7" i="2"/>
  <c r="J7" i="2" s="1"/>
  <c r="E24" i="1"/>
  <c r="I24" i="1" s="1"/>
  <c r="F25" i="1"/>
  <c r="H25" i="1" s="1"/>
  <c r="R29" i="4" l="1"/>
  <c r="Q30" i="4"/>
  <c r="O29" i="4"/>
  <c r="I30" i="4"/>
  <c r="K30" i="4"/>
  <c r="M30" i="4"/>
  <c r="N30" i="4" s="1"/>
  <c r="J30" i="4"/>
  <c r="H31" i="4"/>
  <c r="P31" i="4" s="1"/>
  <c r="B21" i="2"/>
  <c r="G4" i="2"/>
  <c r="I6" i="2"/>
  <c r="J6" i="2" s="1"/>
  <c r="E23" i="1"/>
  <c r="I23" i="1" s="1"/>
  <c r="F24" i="1"/>
  <c r="H24" i="1" s="1"/>
  <c r="Q31" i="4" l="1"/>
  <c r="R30" i="4"/>
  <c r="O30" i="4"/>
  <c r="I31" i="4"/>
  <c r="K31" i="4"/>
  <c r="M31" i="4"/>
  <c r="N31" i="4" s="1"/>
  <c r="J31" i="4"/>
  <c r="H32" i="4"/>
  <c r="P32" i="4" s="1"/>
  <c r="G5" i="2"/>
  <c r="I5" i="2"/>
  <c r="J5" i="2" s="1"/>
  <c r="E22" i="1"/>
  <c r="I22" i="1" s="1"/>
  <c r="F23" i="1"/>
  <c r="H23" i="1" s="1"/>
  <c r="R31" i="4" l="1"/>
  <c r="O31" i="4"/>
  <c r="I32" i="4"/>
  <c r="H33" i="4" s="1"/>
  <c r="P33" i="4" s="1"/>
  <c r="M32" i="4"/>
  <c r="N32" i="4" s="1"/>
  <c r="J32" i="4"/>
  <c r="K32" i="4"/>
  <c r="O32" i="4" s="1"/>
  <c r="G6" i="2"/>
  <c r="K5" i="2"/>
  <c r="I4" i="2"/>
  <c r="J4" i="2" s="1"/>
  <c r="E21" i="1"/>
  <c r="I21" i="1" s="1"/>
  <c r="F22" i="1"/>
  <c r="H22" i="1" s="1"/>
  <c r="R32" i="4" l="1"/>
  <c r="Q33" i="4"/>
  <c r="Q32" i="4"/>
  <c r="J33" i="4"/>
  <c r="I33" i="4"/>
  <c r="K33" i="4"/>
  <c r="O33" i="4" s="1"/>
  <c r="M33" i="4"/>
  <c r="N33" i="4" s="1"/>
  <c r="R33" i="4" s="1"/>
  <c r="H34" i="4"/>
  <c r="P34" i="4" s="1"/>
  <c r="G7" i="2"/>
  <c r="K6" i="2"/>
  <c r="J3" i="2"/>
  <c r="E20" i="1"/>
  <c r="I20" i="1" s="1"/>
  <c r="F21" i="1"/>
  <c r="H21" i="1" s="1"/>
  <c r="Q34" i="4" l="1"/>
  <c r="K34" i="4"/>
  <c r="M34" i="4"/>
  <c r="N34" i="4" s="1"/>
  <c r="I34" i="4"/>
  <c r="J34" i="4"/>
  <c r="H35" i="4"/>
  <c r="P35" i="4" s="1"/>
  <c r="G8" i="2"/>
  <c r="K7" i="2"/>
  <c r="E19" i="1"/>
  <c r="I19" i="1" s="1"/>
  <c r="Q35" i="4" l="1"/>
  <c r="O34" i="4"/>
  <c r="R34" i="4" s="1"/>
  <c r="I35" i="4"/>
  <c r="J35" i="4"/>
  <c r="M35" i="4"/>
  <c r="N35" i="4" s="1"/>
  <c r="K35" i="4"/>
  <c r="O35" i="4" s="1"/>
  <c r="H36" i="4"/>
  <c r="P36" i="4" s="1"/>
  <c r="G9" i="2"/>
  <c r="K8" i="2"/>
  <c r="E18" i="1"/>
  <c r="I18" i="1" s="1"/>
  <c r="F19" i="1"/>
  <c r="H19" i="1" s="1"/>
  <c r="F20" i="1"/>
  <c r="H20" i="1" s="1"/>
  <c r="Q36" i="4" l="1"/>
  <c r="R35" i="4"/>
  <c r="J36" i="4"/>
  <c r="I36" i="4"/>
  <c r="M36" i="4"/>
  <c r="N36" i="4" s="1"/>
  <c r="K36" i="4"/>
  <c r="O36" i="4" s="1"/>
  <c r="H37" i="4"/>
  <c r="P37" i="4" s="1"/>
  <c r="G10" i="2"/>
  <c r="K9" i="2"/>
  <c r="E17" i="1"/>
  <c r="I17" i="1" s="1"/>
  <c r="Q37" i="4" l="1"/>
  <c r="R36" i="4"/>
  <c r="M37" i="4"/>
  <c r="N37" i="4" s="1"/>
  <c r="J37" i="4"/>
  <c r="I37" i="4"/>
  <c r="K37" i="4"/>
  <c r="O37" i="4" s="1"/>
  <c r="H38" i="4"/>
  <c r="P38" i="4" s="1"/>
  <c r="G11" i="2"/>
  <c r="K10" i="2"/>
  <c r="E16" i="1"/>
  <c r="I16" i="1" s="1"/>
  <c r="F18" i="1"/>
  <c r="H18" i="1" s="1"/>
  <c r="R37" i="4" l="1"/>
  <c r="M38" i="4"/>
  <c r="N38" i="4" s="1"/>
  <c r="J38" i="4"/>
  <c r="I38" i="4"/>
  <c r="K38" i="4"/>
  <c r="O38" i="4" s="1"/>
  <c r="H39" i="4"/>
  <c r="P39" i="4" s="1"/>
  <c r="G12" i="2"/>
  <c r="K11" i="2"/>
  <c r="E15" i="1"/>
  <c r="I15" i="1" s="1"/>
  <c r="F17" i="1"/>
  <c r="H17" i="1" s="1"/>
  <c r="Q39" i="4" l="1"/>
  <c r="R38" i="4"/>
  <c r="Q38" i="4"/>
  <c r="K39" i="4"/>
  <c r="J39" i="4"/>
  <c r="I39" i="4"/>
  <c r="M39" i="4"/>
  <c r="N39" i="4" s="1"/>
  <c r="H40" i="4"/>
  <c r="P40" i="4" s="1"/>
  <c r="G13" i="2"/>
  <c r="K12" i="2"/>
  <c r="E14" i="1"/>
  <c r="I14" i="1" s="1"/>
  <c r="F16" i="1"/>
  <c r="H16" i="1" s="1"/>
  <c r="Q40" i="4" l="1"/>
  <c r="R39" i="4"/>
  <c r="O39" i="4"/>
  <c r="I40" i="4"/>
  <c r="J40" i="4"/>
  <c r="K40" i="4"/>
  <c r="O40" i="4" s="1"/>
  <c r="M40" i="4"/>
  <c r="N40" i="4" s="1"/>
  <c r="R40" i="4" s="1"/>
  <c r="H41" i="4"/>
  <c r="P41" i="4" s="1"/>
  <c r="G14" i="2"/>
  <c r="K13" i="2"/>
  <c r="E13" i="1"/>
  <c r="I13" i="1" s="1"/>
  <c r="F15" i="1"/>
  <c r="H15" i="1" s="1"/>
  <c r="Q41" i="4" l="1"/>
  <c r="M41" i="4"/>
  <c r="N41" i="4" s="1"/>
  <c r="I41" i="4"/>
  <c r="K41" i="4"/>
  <c r="J41" i="4"/>
  <c r="H42" i="4"/>
  <c r="P42" i="4" s="1"/>
  <c r="G15" i="2"/>
  <c r="K14" i="2"/>
  <c r="E12" i="1"/>
  <c r="I12" i="1" s="1"/>
  <c r="F14" i="1"/>
  <c r="H14" i="1" s="1"/>
  <c r="O41" i="4" l="1"/>
  <c r="R41" i="4" s="1"/>
  <c r="I42" i="4"/>
  <c r="J42" i="4"/>
  <c r="K42" i="4"/>
  <c r="O42" i="4" s="1"/>
  <c r="M42" i="4"/>
  <c r="N42" i="4" s="1"/>
  <c r="R42" i="4" s="1"/>
  <c r="H43" i="4"/>
  <c r="P43" i="4" s="1"/>
  <c r="G16" i="2"/>
  <c r="K15" i="2"/>
  <c r="E11" i="1"/>
  <c r="I11" i="1" s="1"/>
  <c r="F13" i="1"/>
  <c r="H13" i="1" s="1"/>
  <c r="Q42" i="4" l="1"/>
  <c r="Q43" i="4"/>
  <c r="I43" i="4"/>
  <c r="H44" i="4" s="1"/>
  <c r="P44" i="4" s="1"/>
  <c r="J43" i="4"/>
  <c r="K43" i="4"/>
  <c r="O43" i="4" s="1"/>
  <c r="M43" i="4"/>
  <c r="N43" i="4" s="1"/>
  <c r="R43" i="4" s="1"/>
  <c r="G17" i="2"/>
  <c r="K16" i="2"/>
  <c r="E10" i="1"/>
  <c r="I10" i="1" s="1"/>
  <c r="F12" i="1"/>
  <c r="H12" i="1" s="1"/>
  <c r="Q44" i="4" l="1"/>
  <c r="M44" i="4"/>
  <c r="N44" i="4" s="1"/>
  <c r="K44" i="4"/>
  <c r="I44" i="4"/>
  <c r="J44" i="4"/>
  <c r="H45" i="4"/>
  <c r="P45" i="4" s="1"/>
  <c r="G18" i="2"/>
  <c r="K17" i="2"/>
  <c r="E9" i="1"/>
  <c r="I9" i="1" s="1"/>
  <c r="F11" i="1"/>
  <c r="H11" i="1" s="1"/>
  <c r="Q45" i="4" l="1"/>
  <c r="R44" i="4"/>
  <c r="O44" i="4"/>
  <c r="M45" i="4"/>
  <c r="N45" i="4" s="1"/>
  <c r="I45" i="4"/>
  <c r="J45" i="4"/>
  <c r="K45" i="4"/>
  <c r="O45" i="4" s="1"/>
  <c r="H46" i="4"/>
  <c r="P46" i="4" s="1"/>
  <c r="G19" i="2"/>
  <c r="K18" i="2"/>
  <c r="E8" i="1"/>
  <c r="I8" i="1" s="1"/>
  <c r="F10" i="1"/>
  <c r="H10" i="1" s="1"/>
  <c r="R45" i="4" l="1"/>
  <c r="Q46" i="4"/>
  <c r="M46" i="4"/>
  <c r="N46" i="4" s="1"/>
  <c r="J46" i="4"/>
  <c r="I46" i="4"/>
  <c r="K46" i="4"/>
  <c r="O46" i="4" s="1"/>
  <c r="H47" i="4"/>
  <c r="P47" i="4" s="1"/>
  <c r="G20" i="2"/>
  <c r="K19" i="2"/>
  <c r="E7" i="1"/>
  <c r="I7" i="1" s="1"/>
  <c r="F9" i="1"/>
  <c r="H9" i="1" s="1"/>
  <c r="Q47" i="4" l="1"/>
  <c r="R46" i="4"/>
  <c r="I47" i="4"/>
  <c r="K47" i="4"/>
  <c r="M47" i="4"/>
  <c r="N47" i="4" s="1"/>
  <c r="J47" i="4"/>
  <c r="H48" i="4"/>
  <c r="P48" i="4" s="1"/>
  <c r="G21" i="2"/>
  <c r="K20" i="2"/>
  <c r="E6" i="1"/>
  <c r="I6" i="1" s="1"/>
  <c r="F8" i="1"/>
  <c r="H8" i="1" s="1"/>
  <c r="Q48" i="4" l="1"/>
  <c r="R47" i="4"/>
  <c r="O47" i="4"/>
  <c r="M48" i="4"/>
  <c r="N48" i="4" s="1"/>
  <c r="J48" i="4"/>
  <c r="I48" i="4"/>
  <c r="K48" i="4"/>
  <c r="O48" i="4" s="1"/>
  <c r="H49" i="4"/>
  <c r="P49" i="4" s="1"/>
  <c r="G22" i="2"/>
  <c r="K21" i="2"/>
  <c r="E5" i="1"/>
  <c r="I5" i="1" s="1"/>
  <c r="F7" i="1"/>
  <c r="H7" i="1" s="1"/>
  <c r="R48" i="4" l="1"/>
  <c r="Q49" i="4"/>
  <c r="M49" i="4"/>
  <c r="N49" i="4" s="1"/>
  <c r="I49" i="4"/>
  <c r="K49" i="4"/>
  <c r="J49" i="4"/>
  <c r="H50" i="4"/>
  <c r="P50" i="4" s="1"/>
  <c r="G23" i="2"/>
  <c r="K22" i="2"/>
  <c r="E4" i="1"/>
  <c r="F6" i="1"/>
  <c r="H6" i="1" s="1"/>
  <c r="Q50" i="4" l="1"/>
  <c r="R49" i="4"/>
  <c r="O49" i="4"/>
  <c r="K50" i="4"/>
  <c r="J50" i="4"/>
  <c r="I50" i="4"/>
  <c r="M50" i="4"/>
  <c r="N50" i="4" s="1"/>
  <c r="H51" i="4"/>
  <c r="P51" i="4" s="1"/>
  <c r="G24" i="2"/>
  <c r="K24" i="2" s="1"/>
  <c r="K23" i="2"/>
  <c r="F5" i="1"/>
  <c r="H5" i="1" s="1"/>
  <c r="I4" i="1"/>
  <c r="E3" i="1"/>
  <c r="Q51" i="4" l="1"/>
  <c r="R50" i="4"/>
  <c r="O50" i="4"/>
  <c r="J51" i="4"/>
  <c r="M51" i="4"/>
  <c r="N51" i="4" s="1"/>
  <c r="I51" i="4"/>
  <c r="K51" i="4"/>
  <c r="O51" i="4" s="1"/>
  <c r="H52" i="4"/>
  <c r="P52" i="4" s="1"/>
  <c r="B11" i="2"/>
  <c r="B20" i="2" s="1"/>
  <c r="B22" i="2" s="1"/>
  <c r="F4" i="1"/>
  <c r="I3" i="1"/>
  <c r="H4" i="1"/>
  <c r="E2" i="1"/>
  <c r="I2" i="1" s="1"/>
  <c r="F3" i="1"/>
  <c r="Q52" i="4" l="1"/>
  <c r="R51" i="4"/>
  <c r="I52" i="4"/>
  <c r="K52" i="4"/>
  <c r="J52" i="4"/>
  <c r="M52" i="4"/>
  <c r="N52" i="4" s="1"/>
  <c r="H53" i="4"/>
  <c r="P53" i="4" s="1"/>
  <c r="H3" i="1"/>
  <c r="G3" i="1"/>
  <c r="O52" i="4" l="1"/>
  <c r="R52" i="4" s="1"/>
  <c r="M53" i="4"/>
  <c r="N53" i="4" s="1"/>
  <c r="I53" i="4"/>
  <c r="K53" i="4"/>
  <c r="Q53" i="4" s="1"/>
  <c r="J53" i="4"/>
  <c r="H54" i="4"/>
  <c r="P54" i="4" s="1"/>
  <c r="K3" i="1"/>
  <c r="G4" i="1"/>
  <c r="R53" i="4" l="1"/>
  <c r="Q54" i="4"/>
  <c r="O53" i="4"/>
  <c r="J54" i="4"/>
  <c r="M54" i="4"/>
  <c r="N54" i="4" s="1"/>
  <c r="I54" i="4"/>
  <c r="K54" i="4"/>
  <c r="O54" i="4" s="1"/>
  <c r="H55" i="4"/>
  <c r="P55" i="4" s="1"/>
  <c r="G5" i="1"/>
  <c r="K4" i="1"/>
  <c r="R54" i="4" l="1"/>
  <c r="J55" i="4"/>
  <c r="I55" i="4"/>
  <c r="M55" i="4"/>
  <c r="N55" i="4" s="1"/>
  <c r="K55" i="4"/>
  <c r="Q55" i="4" s="1"/>
  <c r="H56" i="4"/>
  <c r="P56" i="4" s="1"/>
  <c r="G6" i="1"/>
  <c r="K5" i="1"/>
  <c r="Q56" i="4" l="1"/>
  <c r="R55" i="4"/>
  <c r="O55" i="4"/>
  <c r="J56" i="4"/>
  <c r="I56" i="4"/>
  <c r="K56" i="4"/>
  <c r="O56" i="4" s="1"/>
  <c r="M56" i="4"/>
  <c r="N56" i="4" s="1"/>
  <c r="R56" i="4" s="1"/>
  <c r="H57" i="4"/>
  <c r="P57" i="4" s="1"/>
  <c r="G7" i="1"/>
  <c r="K6" i="1"/>
  <c r="K57" i="4" l="1"/>
  <c r="O57" i="4" s="1"/>
  <c r="J57" i="4"/>
  <c r="I57" i="4"/>
  <c r="M57" i="4"/>
  <c r="N57" i="4" s="1"/>
  <c r="H58" i="4"/>
  <c r="P58" i="4" s="1"/>
  <c r="G8" i="1"/>
  <c r="K7" i="1"/>
  <c r="Q57" i="4" l="1"/>
  <c r="Q58" i="4"/>
  <c r="R57" i="4"/>
  <c r="K58" i="4"/>
  <c r="J58" i="4"/>
  <c r="I58" i="4"/>
  <c r="M58" i="4"/>
  <c r="N58" i="4" s="1"/>
  <c r="H59" i="4"/>
  <c r="P59" i="4" s="1"/>
  <c r="G9" i="1"/>
  <c r="K8" i="1"/>
  <c r="O58" i="4" l="1"/>
  <c r="R58" i="4" s="1"/>
  <c r="J59" i="4"/>
  <c r="I59" i="4"/>
  <c r="K59" i="4"/>
  <c r="O59" i="4" s="1"/>
  <c r="M59" i="4"/>
  <c r="N59" i="4" s="1"/>
  <c r="H60" i="4"/>
  <c r="P60" i="4" s="1"/>
  <c r="G10" i="1"/>
  <c r="K9" i="1"/>
  <c r="R59" i="4" l="1"/>
  <c r="Q59" i="4"/>
  <c r="I60" i="4"/>
  <c r="H61" i="4" s="1"/>
  <c r="P61" i="4" s="1"/>
  <c r="K60" i="4"/>
  <c r="Q60" i="4" s="1"/>
  <c r="M60" i="4"/>
  <c r="N60" i="4" s="1"/>
  <c r="J60" i="4"/>
  <c r="G11" i="1"/>
  <c r="K10" i="1"/>
  <c r="R60" i="4" l="1"/>
  <c r="Q61" i="4"/>
  <c r="O60" i="4"/>
  <c r="M61" i="4"/>
  <c r="N61" i="4" s="1"/>
  <c r="J61" i="4"/>
  <c r="I61" i="4"/>
  <c r="K61" i="4"/>
  <c r="H62" i="4"/>
  <c r="P62" i="4" s="1"/>
  <c r="G12" i="1"/>
  <c r="K11" i="1"/>
  <c r="R61" i="4" l="1"/>
  <c r="Q62" i="4"/>
  <c r="O61" i="4"/>
  <c r="J62" i="4"/>
  <c r="K62" i="4"/>
  <c r="I62" i="4"/>
  <c r="M62" i="4"/>
  <c r="N62" i="4" s="1"/>
  <c r="H63" i="4"/>
  <c r="P63" i="4" s="1"/>
  <c r="G13" i="1"/>
  <c r="K12" i="1"/>
  <c r="O62" i="4" l="1"/>
  <c r="R62" i="4" s="1"/>
  <c r="J63" i="4"/>
  <c r="I63" i="4"/>
  <c r="H64" i="4" s="1"/>
  <c r="P64" i="4" s="1"/>
  <c r="K63" i="4"/>
  <c r="Q63" i="4" s="1"/>
  <c r="M63" i="4"/>
  <c r="N63" i="4" s="1"/>
  <c r="G14" i="1"/>
  <c r="K13" i="1"/>
  <c r="Q64" i="4" l="1"/>
  <c r="U5" i="4" s="1"/>
  <c r="U6" i="4" s="1"/>
  <c r="O63" i="4"/>
  <c r="R63" i="4" s="1"/>
  <c r="K64" i="4"/>
  <c r="I64" i="4"/>
  <c r="M64" i="4"/>
  <c r="N64" i="4" s="1"/>
  <c r="J64" i="4"/>
  <c r="G15" i="1"/>
  <c r="K14" i="1"/>
  <c r="R64" i="4" l="1"/>
  <c r="O64" i="4"/>
  <c r="G16" i="1"/>
  <c r="K15" i="1"/>
  <c r="G17" i="1" l="1"/>
  <c r="K16" i="1"/>
  <c r="G18" i="1" l="1"/>
  <c r="K17" i="1"/>
  <c r="G19" i="1" l="1"/>
  <c r="K18" i="1"/>
  <c r="G20" i="1" l="1"/>
  <c r="K19" i="1"/>
  <c r="G21" i="1" l="1"/>
  <c r="K20" i="1"/>
  <c r="G22" i="1" l="1"/>
  <c r="K21" i="1"/>
  <c r="G23" i="1" l="1"/>
  <c r="K22" i="1"/>
  <c r="G24" i="1" l="1"/>
  <c r="K23" i="1"/>
  <c r="B12" i="2" l="1"/>
  <c r="G25" i="1"/>
  <c r="K24" i="1"/>
  <c r="G26" i="1" l="1"/>
  <c r="K25" i="1"/>
  <c r="G27" i="1" l="1"/>
  <c r="K26" i="1"/>
  <c r="G28" i="1" l="1"/>
  <c r="K27" i="1"/>
  <c r="G29" i="1" l="1"/>
  <c r="K28" i="1"/>
  <c r="G30" i="1" l="1"/>
  <c r="K29" i="1"/>
  <c r="G31" i="1" l="1"/>
  <c r="K30" i="1"/>
  <c r="G32" i="1" l="1"/>
  <c r="K31" i="1"/>
  <c r="G33" i="1" l="1"/>
  <c r="K32" i="1"/>
  <c r="G34" i="1" l="1"/>
  <c r="K33" i="1"/>
  <c r="G35" i="1" l="1"/>
  <c r="K34" i="1"/>
  <c r="G36" i="1" l="1"/>
  <c r="K35" i="1"/>
  <c r="G37" i="1" l="1"/>
  <c r="K36" i="1"/>
  <c r="G38" i="1" l="1"/>
  <c r="K37" i="1"/>
  <c r="G39" i="1" l="1"/>
  <c r="K38" i="1"/>
  <c r="G40" i="1" l="1"/>
  <c r="K39" i="1"/>
  <c r="G41" i="1" l="1"/>
  <c r="K40" i="1"/>
  <c r="G42" i="1" l="1"/>
  <c r="K42" i="1" s="1"/>
  <c r="K41" i="1"/>
  <c r="B11" i="1" l="1"/>
  <c r="B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Montserrat Martínez Mendoza</author>
  </authors>
  <commentList>
    <comment ref="B2" authorId="0" shapeId="0" xr:uid="{04407CD4-603A-4E40-90CD-F2093486FA82}">
      <text>
        <r>
          <rPr>
            <b/>
            <sz val="9"/>
            <color indexed="81"/>
            <rFont val="Tahoma"/>
            <family val="2"/>
          </rPr>
          <t>Montserrat Martínez Mendoza:</t>
        </r>
        <r>
          <rPr>
            <sz val="9"/>
            <color indexed="81"/>
            <rFont val="Tahoma"/>
            <family val="2"/>
          </rPr>
          <t xml:space="preserve">
Mercado de dinero</t>
        </r>
      </text>
    </comment>
    <comment ref="L2" authorId="0" shapeId="0" xr:uid="{A2946784-17C9-4A55-8E42-8528E7DDEA95}">
      <text>
        <r>
          <rPr>
            <b/>
            <sz val="9"/>
            <color indexed="81"/>
            <rFont val="Tahoma"/>
            <family val="2"/>
          </rPr>
          <t>Montserrat Martínez Mendoza:</t>
        </r>
        <r>
          <rPr>
            <sz val="9"/>
            <color indexed="81"/>
            <rFont val="Tahoma"/>
            <family val="2"/>
          </rPr>
          <t xml:space="preserve">
No cotizan con tasa de descuento</t>
        </r>
      </text>
    </comment>
  </commentList>
</comments>
</file>

<file path=xl/sharedStrings.xml><?xml version="1.0" encoding="utf-8"?>
<sst xmlns="http://schemas.openxmlformats.org/spreadsheetml/2006/main" count="258" uniqueCount="128">
  <si>
    <t>VN</t>
  </si>
  <si>
    <t>TCPN</t>
  </si>
  <si>
    <t>YIELD</t>
  </si>
  <si>
    <t>SPREAD</t>
  </si>
  <si>
    <t>VENCIMIENTO</t>
  </si>
  <si>
    <t>PCPN</t>
  </si>
  <si>
    <t>AÑOS</t>
  </si>
  <si>
    <t>CUPONES</t>
  </si>
  <si>
    <t>Net Present Value (NPV)</t>
  </si>
  <si>
    <t>DISCRIMINANTE EN PRECIOS</t>
  </si>
  <si>
    <t>DISCRIMINANTE EN TASAS</t>
  </si>
  <si>
    <t>N</t>
  </si>
  <si>
    <t>Calendario cupón</t>
  </si>
  <si>
    <t>Días a flujo</t>
  </si>
  <si>
    <t>Días acumulados</t>
  </si>
  <si>
    <t>Cupón</t>
  </si>
  <si>
    <t>Factor de descuento</t>
  </si>
  <si>
    <t>Amortización</t>
  </si>
  <si>
    <t>Flujo completo</t>
  </si>
  <si>
    <t>PRICING DATE</t>
  </si>
  <si>
    <t>SETLEMENT DATE</t>
  </si>
  <si>
    <t>DÍAS POR VENCER</t>
  </si>
  <si>
    <t>DÍAS TRANSCURRIDOS</t>
  </si>
  <si>
    <t>PRECIO SUCIO</t>
  </si>
  <si>
    <t>INTERÉS CUPÓN CORRIENTE</t>
  </si>
  <si>
    <t>PRECIO LIMPIO</t>
  </si>
  <si>
    <t>ISS PRICE</t>
  </si>
  <si>
    <t>PRECIO SUCIO VBA</t>
  </si>
  <si>
    <t>INTERESES CUPON CORRIENTE VBA</t>
  </si>
  <si>
    <t>PRECIO LIMPIO VBA</t>
  </si>
  <si>
    <t>TipoMercado</t>
  </si>
  <si>
    <t>Fecha descarga</t>
  </si>
  <si>
    <t>TV</t>
  </si>
  <si>
    <t>Emisora</t>
  </si>
  <si>
    <t>Serie</t>
  </si>
  <si>
    <t>Fecha Vencimiento</t>
  </si>
  <si>
    <t>PrecioSucio</t>
  </si>
  <si>
    <t>PrecioLimpio</t>
  </si>
  <si>
    <t>InteresesDevengados</t>
  </si>
  <si>
    <t>DiasPorVencer</t>
  </si>
  <si>
    <t>TasaDescuento</t>
  </si>
  <si>
    <t>PrecioSucio24Hrs</t>
  </si>
  <si>
    <t>PrecioLimpio24Hrs</t>
  </si>
  <si>
    <t>InteresesDevengados24Hrs</t>
  </si>
  <si>
    <t>DiasPorVencer24Hrs</t>
  </si>
  <si>
    <t>TasaDescuento24Hrs</t>
  </si>
  <si>
    <t>Plazo</t>
  </si>
  <si>
    <t>Sobretasa</t>
  </si>
  <si>
    <t>ClaveProveedor</t>
  </si>
  <si>
    <t>TipoEnvio</t>
  </si>
  <si>
    <t>Duracion</t>
  </si>
  <si>
    <t>Convexidad</t>
  </si>
  <si>
    <t>Rendimiento</t>
  </si>
  <si>
    <t>Instrumento</t>
  </si>
  <si>
    <t>FechaInicioCupon</t>
  </si>
  <si>
    <t>FechaFinCupon</t>
  </si>
  <si>
    <t>TasaCuponVigente</t>
  </si>
  <si>
    <t>TasaCuponVigente24hrs</t>
  </si>
  <si>
    <t>Moneda</t>
  </si>
  <si>
    <t>Isin</t>
  </si>
  <si>
    <t>MD</t>
  </si>
  <si>
    <t>M</t>
  </si>
  <si>
    <t>BONOS</t>
  </si>
  <si>
    <t>VAL025012</t>
  </si>
  <si>
    <t>M_BONOS_241205</t>
  </si>
  <si>
    <t>MPS</t>
  </si>
  <si>
    <t>MX0MGO000078</t>
  </si>
  <si>
    <t>M_BONOS_250306</t>
  </si>
  <si>
    <t>MX0MGO0001B0</t>
  </si>
  <si>
    <t>M_BONOS_260305</t>
  </si>
  <si>
    <t>MX0MGO0000Y4</t>
  </si>
  <si>
    <t>M_BONOS_260903</t>
  </si>
  <si>
    <t>MX0MGO000193</t>
  </si>
  <si>
    <t>M_BONOS_270304</t>
  </si>
  <si>
    <t>MX0MGO0001C8</t>
  </si>
  <si>
    <t>M_BONOS_270603</t>
  </si>
  <si>
    <t>MX0MGO0000D8</t>
  </si>
  <si>
    <t>M_BONOS_290301</t>
  </si>
  <si>
    <t>MX0MGO0001F1</t>
  </si>
  <si>
    <t>M_BONOS_290531</t>
  </si>
  <si>
    <t>MX0MGO0000H9</t>
  </si>
  <si>
    <t>M_BONOS_310529</t>
  </si>
  <si>
    <t>MX0MGO0000P2</t>
  </si>
  <si>
    <t>M_BONOS_330526</t>
  </si>
  <si>
    <t>MX0MGO0001D6</t>
  </si>
  <si>
    <t>M_BONOS_341123</t>
  </si>
  <si>
    <t>MX0MGO0000U2</t>
  </si>
  <si>
    <t>M_BONOS_361120</t>
  </si>
  <si>
    <t>MX0MGO0000B2</t>
  </si>
  <si>
    <t>M_BONOS_381118</t>
  </si>
  <si>
    <t>MX0MGO0000J5</t>
  </si>
  <si>
    <t>M_BONOS_421113</t>
  </si>
  <si>
    <t>MX0MGO0000R8</t>
  </si>
  <si>
    <t>M_BONOS_471107</t>
  </si>
  <si>
    <t>MX0MGO000102</t>
  </si>
  <si>
    <t>M_BONOS_530731</t>
  </si>
  <si>
    <t>MX0MGO0001E4</t>
  </si>
  <si>
    <t>Clave</t>
  </si>
  <si>
    <t>Yield</t>
  </si>
  <si>
    <t>Tasa cupón</t>
  </si>
  <si>
    <t>DXV</t>
  </si>
  <si>
    <t>Días transcurridos</t>
  </si>
  <si>
    <t>Fórmula VBA</t>
  </si>
  <si>
    <t>redondeo superior</t>
  </si>
  <si>
    <t>=sec(B18+1,1,0,1,0,22)</t>
  </si>
  <si>
    <t>Factor de descuento (yield efectiva al plazo)</t>
  </si>
  <si>
    <t>Fecha inicio</t>
  </si>
  <si>
    <t>Fecha fin</t>
  </si>
  <si>
    <t xml:space="preserve"> Días a flujo</t>
  </si>
  <si>
    <t>Días en flujo</t>
  </si>
  <si>
    <t xml:space="preserve"> Cupón</t>
  </si>
  <si>
    <t xml:space="preserve"> Amortización</t>
  </si>
  <si>
    <t>Factor de decuento</t>
  </si>
  <si>
    <t>Días por vencer del intstrumento</t>
  </si>
  <si>
    <t>Ponderación en el tiempo</t>
  </si>
  <si>
    <t>VP flujo</t>
  </si>
  <si>
    <t>Días con cupones completos</t>
  </si>
  <si>
    <t>M530731</t>
  </si>
  <si>
    <t>=secuencia(C9+1,1</t>
  </si>
  <si>
    <t>Pricing date</t>
  </si>
  <si>
    <t>Cuando estoy valuando</t>
  </si>
  <si>
    <t>Han pasado 56</t>
  </si>
  <si>
    <t>Dur. MaCulay (semestres)</t>
  </si>
  <si>
    <t>Dur. MaCulay (años)</t>
  </si>
  <si>
    <t>Nos tardamos 9. 63 años en promedio para recuperar la inversión</t>
  </si>
  <si>
    <t>Años aprox</t>
  </si>
  <si>
    <t>m</t>
  </si>
  <si>
    <t>Duración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</si>
</sst>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164" formatCode="dd/mmm/yy"/>
    <numFmt numFmtId="165" formatCode="_-&quot;$&quot;* #,##0.00000_-;\-&quot;$&quot;* #,##0.00000_-;_-&quot;$&quot;* &quot;-&quot;?????_-;_-@_-"/>
    <numFmt numFmtId="166" formatCode="_-&quot;$&quot;* #,##0.000_-;\-&quot;$&quot;* #,##0.000_-;_-&quot;$&quot;* &quot;-&quot;???_-;_-@_-"/>
    <numFmt numFmtId="167" formatCode="&quot;$&quot;#,##0.0000"/>
    <numFmt numFmtId="168" formatCode="0.0000%"/>
    <numFmt numFmtId="169" formatCode="0.0000"/>
    <numFmt numFmtId="170" formatCode="dd/mmm/yyyy"/>
    <numFmt numFmtId="171" formatCode="_-&quot;$&quot;* #,##0.0000_-;\-&quot;$&quot;* #,##0.0000_-;_-&quot;$&quot;* &quot;-&quot;?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3499862666707357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43">
    <xf numFmtId="0" fontId="0" fillId="0" borderId="0" xfId="0"/>
    <xf numFmtId="44" fontId="0" fillId="0" borderId="0" xfId="0" applyNumberFormat="1"/>
    <xf numFmtId="10" fontId="0" fillId="0" borderId="0" xfId="1" applyNumberFormat="1" applyFont="1"/>
    <xf numFmtId="0" fontId="2" fillId="0" borderId="0" xfId="0" applyFont="1"/>
    <xf numFmtId="10" fontId="2" fillId="0" borderId="0" xfId="1" applyNumberFormat="1" applyFont="1"/>
    <xf numFmtId="164" fontId="0" fillId="0" borderId="0" xfId="0" applyNumberFormat="1"/>
    <xf numFmtId="0" fontId="3" fillId="0" borderId="1" xfId="0" applyFont="1" applyBorder="1"/>
    <xf numFmtId="165" fontId="3" fillId="0" borderId="1" xfId="0" applyNumberFormat="1" applyFont="1" applyBorder="1"/>
    <xf numFmtId="166" fontId="3" fillId="0" borderId="1" xfId="0" applyNumberFormat="1" applyFont="1" applyBorder="1"/>
    <xf numFmtId="166" fontId="3" fillId="0" borderId="2" xfId="0" applyNumberFormat="1" applyFont="1" applyBorder="1"/>
    <xf numFmtId="166" fontId="5" fillId="0" borderId="2" xfId="0" applyNumberFormat="1" applyFont="1" applyBorder="1"/>
    <xf numFmtId="15" fontId="0" fillId="0" borderId="0" xfId="0" applyNumberFormat="1"/>
    <xf numFmtId="0" fontId="0" fillId="0" borderId="1" xfId="0" applyBorder="1"/>
    <xf numFmtId="166" fontId="0" fillId="0" borderId="1" xfId="0" applyNumberFormat="1" applyBorder="1"/>
    <xf numFmtId="0" fontId="0" fillId="0" borderId="2" xfId="0" applyBorder="1"/>
    <xf numFmtId="166" fontId="0" fillId="0" borderId="2" xfId="0" applyNumberFormat="1" applyBorder="1"/>
    <xf numFmtId="0" fontId="5" fillId="0" borderId="1" xfId="0" applyFont="1" applyBorder="1"/>
    <xf numFmtId="164" fontId="0" fillId="2" borderId="0" xfId="0" applyNumberFormat="1" applyFill="1"/>
    <xf numFmtId="0" fontId="7" fillId="0" borderId="0" xfId="2" applyFont="1" applyAlignment="1">
      <alignment horizontal="center" vertical="center"/>
    </xf>
    <xf numFmtId="15" fontId="7" fillId="0" borderId="0" xfId="2" applyNumberFormat="1" applyFont="1" applyAlignment="1">
      <alignment horizontal="center" vertical="center"/>
    </xf>
    <xf numFmtId="0" fontId="7" fillId="3" borderId="0" xfId="2" applyFont="1" applyFill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0" fillId="5" borderId="5" xfId="0" applyFill="1" applyBorder="1"/>
    <xf numFmtId="14" fontId="0" fillId="5" borderId="5" xfId="0" applyNumberFormat="1" applyFill="1" applyBorder="1"/>
    <xf numFmtId="167" fontId="0" fillId="5" borderId="5" xfId="0" applyNumberFormat="1" applyFill="1" applyBorder="1"/>
    <xf numFmtId="168" fontId="0" fillId="5" borderId="5" xfId="1" applyNumberFormat="1" applyFont="1" applyFill="1" applyBorder="1"/>
    <xf numFmtId="0" fontId="0" fillId="5" borderId="7" xfId="0" applyFill="1" applyBorder="1"/>
    <xf numFmtId="168" fontId="0" fillId="5" borderId="7" xfId="0" applyNumberFormat="1" applyFill="1" applyBorder="1"/>
    <xf numFmtId="1" fontId="0" fillId="5" borderId="7" xfId="0" applyNumberFormat="1" applyFill="1" applyBorder="1"/>
    <xf numFmtId="0" fontId="4" fillId="4" borderId="6" xfId="0" applyFont="1" applyFill="1" applyBorder="1"/>
    <xf numFmtId="0" fontId="11" fillId="5" borderId="5" xfId="2" applyFont="1" applyFill="1" applyBorder="1" applyAlignment="1">
      <alignment horizontal="center" vertical="center"/>
    </xf>
    <xf numFmtId="0" fontId="10" fillId="4" borderId="3" xfId="2" applyFont="1" applyFill="1" applyBorder="1" applyAlignment="1">
      <alignment horizontal="center" vertical="center"/>
    </xf>
    <xf numFmtId="0" fontId="0" fillId="0" borderId="0" xfId="0" quotePrefix="1"/>
    <xf numFmtId="169" fontId="0" fillId="0" borderId="0" xfId="0" applyNumberFormat="1"/>
    <xf numFmtId="170" fontId="0" fillId="0" borderId="0" xfId="0" applyNumberFormat="1"/>
    <xf numFmtId="0" fontId="12" fillId="0" borderId="0" xfId="0" applyFont="1"/>
    <xf numFmtId="0" fontId="12" fillId="0" borderId="0" xfId="0" quotePrefix="1" applyFont="1"/>
    <xf numFmtId="14" fontId="0" fillId="5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1" fontId="0" fillId="0" borderId="0" xfId="0" applyNumberFormat="1"/>
    <xf numFmtId="169" fontId="0" fillId="5" borderId="3" xfId="0" applyNumberFormat="1" applyFill="1" applyBorder="1"/>
    <xf numFmtId="169" fontId="0" fillId="5" borderId="7" xfId="0" applyNumberFormat="1" applyFill="1" applyBorder="1"/>
    <xf numFmtId="0" fontId="4" fillId="4" borderId="0" xfId="0" applyFont="1" applyFill="1"/>
  </cellXfs>
  <cellStyles count="3">
    <cellStyle name="Normal" xfId="0" builtinId="0"/>
    <cellStyle name="Normal 2" xfId="2" xr:uid="{CDCF3B2B-057A-4793-9C38-9A2E471B4510}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85726</xdr:rowOff>
    </xdr:from>
    <xdr:to>
      <xdr:col>3</xdr:col>
      <xdr:colOff>66675</xdr:colOff>
      <xdr:row>2</xdr:row>
      <xdr:rowOff>85726</xdr:rowOff>
    </xdr:to>
    <xdr:sp macro="[0]!mi1rachamba" textlink="">
      <xdr:nvSpPr>
        <xdr:cNvPr id="2" name="CuadroTexto 1">
          <a:extLst>
            <a:ext uri="{FF2B5EF4-FFF2-40B4-BE49-F238E27FC236}">
              <a16:creationId xmlns:a16="http://schemas.microsoft.com/office/drawing/2014/main" id="{924B95CA-F158-8E32-80DE-2C0F1C55F0B0}"/>
            </a:ext>
          </a:extLst>
        </xdr:cNvPr>
        <xdr:cNvSpPr txBox="1"/>
      </xdr:nvSpPr>
      <xdr:spPr>
        <a:xfrm>
          <a:off x="276225" y="85726"/>
          <a:ext cx="2076450" cy="381000"/>
        </a:xfrm>
        <a:prstGeom prst="rect">
          <a:avLst/>
        </a:prstGeom>
        <a:solidFill>
          <a:schemeClr val="tx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Mi primera chamba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ABB44-2BAD-4E71-851E-ED63E7A65F90}">
  <sheetPr codeName="Hoja1"/>
  <dimension ref="A1:K42"/>
  <sheetViews>
    <sheetView zoomScale="95" workbookViewId="0">
      <selection sqref="A1:B11"/>
    </sheetView>
  </sheetViews>
  <sheetFormatPr baseColWidth="10" defaultRowHeight="15" x14ac:dyDescent="0.25"/>
  <cols>
    <col min="1" max="1" width="28.7109375" bestFit="1" customWidth="1"/>
    <col min="2" max="2" width="23.5703125" bestFit="1" customWidth="1"/>
    <col min="4" max="4" width="5" customWidth="1"/>
    <col min="5" max="5" width="16.85546875" customWidth="1"/>
    <col min="7" max="7" width="15.140625" customWidth="1"/>
    <col min="11" max="11" width="14.7109375" customWidth="1"/>
  </cols>
  <sheetData>
    <row r="1" spans="1:11" x14ac:dyDescent="0.25">
      <c r="A1" t="s">
        <v>0</v>
      </c>
      <c r="B1" s="1">
        <v>100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17</v>
      </c>
      <c r="J1" t="s">
        <v>18</v>
      </c>
      <c r="K1" t="s">
        <v>16</v>
      </c>
    </row>
    <row r="2" spans="1:11" x14ac:dyDescent="0.25">
      <c r="A2" t="s">
        <v>1</v>
      </c>
      <c r="B2" s="2">
        <v>7.7499999999999999E-2</v>
      </c>
      <c r="D2">
        <v>0</v>
      </c>
      <c r="E2" s="5">
        <f t="shared" ref="E2:E40" si="0">E3-$B$7</f>
        <v>40717</v>
      </c>
      <c r="G2">
        <v>0</v>
      </c>
      <c r="H2" s="1">
        <f>$B$1*$B$2*F2/360</f>
        <v>0</v>
      </c>
      <c r="I2" s="1">
        <f>IF(E2=$B$6,$B$1,0)</f>
        <v>0</v>
      </c>
      <c r="J2" s="1">
        <f>H2+I2</f>
        <v>0</v>
      </c>
      <c r="K2">
        <f>1/(1+$B$3*$B$7/360)^(G2/182)</f>
        <v>1</v>
      </c>
    </row>
    <row r="3" spans="1:11" x14ac:dyDescent="0.25">
      <c r="A3" t="s">
        <v>2</v>
      </c>
      <c r="B3" s="2">
        <f>B2+B4</f>
        <v>7.7499999999999999E-2</v>
      </c>
      <c r="D3">
        <f>D2+1</f>
        <v>1</v>
      </c>
      <c r="E3" s="5">
        <f t="shared" si="0"/>
        <v>40899</v>
      </c>
      <c r="F3">
        <f>E3-E2</f>
        <v>182</v>
      </c>
      <c r="G3">
        <f>F3+G2</f>
        <v>182</v>
      </c>
      <c r="H3" s="1">
        <f t="shared" ref="H3:H42" si="1">$B$1*$B$2*F3/360</f>
        <v>3.9180555555555556</v>
      </c>
      <c r="I3" s="1">
        <f t="shared" ref="I3:I42" si="2">IF(E3=$B$6,$B$1,0)</f>
        <v>0</v>
      </c>
      <c r="J3" s="1">
        <f t="shared" ref="J3:J42" si="3">H3+I3</f>
        <v>3.9180555555555556</v>
      </c>
      <c r="K3">
        <f t="shared" ref="K3:K42" si="4">1/(1+$B$3*$B$7/360)^(G3/182)</f>
        <v>0.96229668141297231</v>
      </c>
    </row>
    <row r="4" spans="1:11" ht="15.75" x14ac:dyDescent="0.25">
      <c r="A4" s="3" t="s">
        <v>3</v>
      </c>
      <c r="B4" s="4">
        <v>0</v>
      </c>
      <c r="D4">
        <f t="shared" ref="D4:D42" si="5">D3+1</f>
        <v>2</v>
      </c>
      <c r="E4" s="5">
        <f t="shared" si="0"/>
        <v>41081</v>
      </c>
      <c r="F4">
        <f t="shared" ref="F4:F42" si="6">E4-E3</f>
        <v>182</v>
      </c>
      <c r="G4">
        <f t="shared" ref="G4:G42" si="7">F4+G3</f>
        <v>364</v>
      </c>
      <c r="H4" s="1">
        <f t="shared" si="1"/>
        <v>3.9180555555555556</v>
      </c>
      <c r="I4" s="1">
        <f t="shared" si="2"/>
        <v>0</v>
      </c>
      <c r="J4" s="1">
        <f t="shared" si="3"/>
        <v>3.9180555555555556</v>
      </c>
      <c r="K4">
        <f t="shared" si="4"/>
        <v>0.92601490305841938</v>
      </c>
    </row>
    <row r="5" spans="1:11" x14ac:dyDescent="0.25">
      <c r="D5">
        <f t="shared" si="5"/>
        <v>3</v>
      </c>
      <c r="E5" s="5">
        <f t="shared" si="0"/>
        <v>41263</v>
      </c>
      <c r="F5">
        <f t="shared" si="6"/>
        <v>182</v>
      </c>
      <c r="G5">
        <f t="shared" si="7"/>
        <v>546</v>
      </c>
      <c r="H5" s="1">
        <f t="shared" si="1"/>
        <v>3.9180555555555556</v>
      </c>
      <c r="I5" s="1">
        <f t="shared" si="2"/>
        <v>0</v>
      </c>
      <c r="J5" s="1">
        <f t="shared" si="3"/>
        <v>3.9180555555555556</v>
      </c>
      <c r="K5">
        <f t="shared" si="4"/>
        <v>0.89110106815207235</v>
      </c>
    </row>
    <row r="6" spans="1:11" x14ac:dyDescent="0.25">
      <c r="A6" t="s">
        <v>4</v>
      </c>
      <c r="B6" s="5">
        <v>47997</v>
      </c>
      <c r="D6">
        <f t="shared" si="5"/>
        <v>4</v>
      </c>
      <c r="E6" s="5">
        <f t="shared" si="0"/>
        <v>41445</v>
      </c>
      <c r="F6">
        <f t="shared" si="6"/>
        <v>182</v>
      </c>
      <c r="G6">
        <f t="shared" si="7"/>
        <v>728</v>
      </c>
      <c r="H6" s="1">
        <f t="shared" si="1"/>
        <v>3.9180555555555556</v>
      </c>
      <c r="I6" s="1">
        <f t="shared" si="2"/>
        <v>0</v>
      </c>
      <c r="J6" s="1">
        <f t="shared" si="3"/>
        <v>3.9180555555555556</v>
      </c>
      <c r="K6">
        <f t="shared" si="4"/>
        <v>0.85750360068629394</v>
      </c>
    </row>
    <row r="7" spans="1:11" x14ac:dyDescent="0.25">
      <c r="A7" t="s">
        <v>5</v>
      </c>
      <c r="B7">
        <v>182</v>
      </c>
      <c r="D7">
        <f t="shared" si="5"/>
        <v>5</v>
      </c>
      <c r="E7" s="5">
        <f t="shared" si="0"/>
        <v>41627</v>
      </c>
      <c r="F7">
        <f t="shared" si="6"/>
        <v>182</v>
      </c>
      <c r="G7">
        <f t="shared" si="7"/>
        <v>910</v>
      </c>
      <c r="H7" s="1">
        <f t="shared" si="1"/>
        <v>3.9180555555555556</v>
      </c>
      <c r="I7" s="1">
        <f t="shared" si="2"/>
        <v>0</v>
      </c>
      <c r="J7" s="1">
        <f t="shared" si="3"/>
        <v>3.9180555555555556</v>
      </c>
      <c r="K7">
        <f t="shared" si="4"/>
        <v>0.82517286924009514</v>
      </c>
    </row>
    <row r="8" spans="1:11" x14ac:dyDescent="0.25">
      <c r="A8" t="s">
        <v>6</v>
      </c>
      <c r="B8">
        <v>20</v>
      </c>
      <c r="D8">
        <f t="shared" si="5"/>
        <v>6</v>
      </c>
      <c r="E8" s="5">
        <f t="shared" si="0"/>
        <v>41809</v>
      </c>
      <c r="F8">
        <f t="shared" si="6"/>
        <v>182</v>
      </c>
      <c r="G8">
        <f t="shared" si="7"/>
        <v>1092</v>
      </c>
      <c r="H8" s="1">
        <f t="shared" si="1"/>
        <v>3.9180555555555556</v>
      </c>
      <c r="I8" s="1">
        <f t="shared" si="2"/>
        <v>0</v>
      </c>
      <c r="J8" s="1">
        <f t="shared" si="3"/>
        <v>3.9180555555555556</v>
      </c>
      <c r="K8">
        <f t="shared" si="4"/>
        <v>0.79406111366176402</v>
      </c>
    </row>
    <row r="9" spans="1:11" x14ac:dyDescent="0.25">
      <c r="A9" t="s">
        <v>7</v>
      </c>
      <c r="B9">
        <f>B8*2</f>
        <v>40</v>
      </c>
      <c r="D9">
        <f t="shared" si="5"/>
        <v>7</v>
      </c>
      <c r="E9" s="5">
        <f t="shared" si="0"/>
        <v>41991</v>
      </c>
      <c r="F9">
        <f t="shared" si="6"/>
        <v>182</v>
      </c>
      <c r="G9">
        <f t="shared" si="7"/>
        <v>1274</v>
      </c>
      <c r="H9" s="1">
        <f t="shared" si="1"/>
        <v>3.9180555555555556</v>
      </c>
      <c r="I9" s="1">
        <f t="shared" si="2"/>
        <v>0</v>
      </c>
      <c r="J9" s="1">
        <f t="shared" si="3"/>
        <v>3.9180555555555556</v>
      </c>
      <c r="K9">
        <f t="shared" si="4"/>
        <v>0.76412237451580456</v>
      </c>
    </row>
    <row r="10" spans="1:11" x14ac:dyDescent="0.25">
      <c r="D10">
        <f t="shared" si="5"/>
        <v>8</v>
      </c>
      <c r="E10" s="5">
        <f t="shared" si="0"/>
        <v>42173</v>
      </c>
      <c r="F10">
        <f t="shared" si="6"/>
        <v>182</v>
      </c>
      <c r="G10">
        <f t="shared" si="7"/>
        <v>1456</v>
      </c>
      <c r="H10" s="1">
        <f t="shared" si="1"/>
        <v>3.9180555555555556</v>
      </c>
      <c r="I10" s="1">
        <f t="shared" si="2"/>
        <v>0</v>
      </c>
      <c r="J10" s="1">
        <f t="shared" si="3"/>
        <v>3.9180555555555556</v>
      </c>
      <c r="K10">
        <f t="shared" si="4"/>
        <v>0.7353124251899591</v>
      </c>
    </row>
    <row r="11" spans="1:11" ht="15.75" x14ac:dyDescent="0.25">
      <c r="A11" s="6" t="s">
        <v>8</v>
      </c>
      <c r="B11" s="7">
        <f>ROUND(SUMPRODUCT(K:K,J:J),6)</f>
        <v>100</v>
      </c>
      <c r="C11">
        <v>99.09836</v>
      </c>
      <c r="D11">
        <f t="shared" si="5"/>
        <v>9</v>
      </c>
      <c r="E11" s="5">
        <f t="shared" si="0"/>
        <v>42355</v>
      </c>
      <c r="F11">
        <f t="shared" si="6"/>
        <v>182</v>
      </c>
      <c r="G11">
        <f t="shared" si="7"/>
        <v>1638</v>
      </c>
      <c r="H11" s="1">
        <f t="shared" si="1"/>
        <v>3.9180555555555556</v>
      </c>
      <c r="I11" s="1">
        <f t="shared" si="2"/>
        <v>0</v>
      </c>
      <c r="J11" s="1">
        <f t="shared" si="3"/>
        <v>3.9180555555555556</v>
      </c>
      <c r="K11">
        <f t="shared" si="4"/>
        <v>0.707588706562022</v>
      </c>
    </row>
    <row r="12" spans="1:11" x14ac:dyDescent="0.25">
      <c r="A12" t="s">
        <v>9</v>
      </c>
      <c r="B12" t="str">
        <f>IF(B11=B1,"A LA PAR",IF(B11&lt;B1,"BAJO PAR","ARRIBA DE PAR"))</f>
        <v>A LA PAR</v>
      </c>
      <c r="D12">
        <f t="shared" si="5"/>
        <v>10</v>
      </c>
      <c r="E12" s="5">
        <f t="shared" si="0"/>
        <v>42537</v>
      </c>
      <c r="F12">
        <f t="shared" si="6"/>
        <v>182</v>
      </c>
      <c r="G12">
        <f t="shared" si="7"/>
        <v>1820</v>
      </c>
      <c r="H12" s="1">
        <f t="shared" si="1"/>
        <v>3.9180555555555556</v>
      </c>
      <c r="I12" s="1">
        <f t="shared" si="2"/>
        <v>0</v>
      </c>
      <c r="J12" s="1">
        <f t="shared" si="3"/>
        <v>3.9180555555555556</v>
      </c>
      <c r="K12">
        <f t="shared" si="4"/>
        <v>0.68091026412993116</v>
      </c>
    </row>
    <row r="13" spans="1:11" x14ac:dyDescent="0.25">
      <c r="A13" t="s">
        <v>10</v>
      </c>
      <c r="B13" t="str">
        <f>IF(B2=B3,"BALANCEADO EN TASAS",IF(B2&gt;B3,"CON PREMIO EN TASAS", "PENALIZADO EN TASAS"))</f>
        <v>BALANCEADO EN TASAS</v>
      </c>
      <c r="D13">
        <f t="shared" si="5"/>
        <v>11</v>
      </c>
      <c r="E13" s="5">
        <f t="shared" si="0"/>
        <v>42719</v>
      </c>
      <c r="F13">
        <f t="shared" si="6"/>
        <v>182</v>
      </c>
      <c r="G13">
        <f t="shared" si="7"/>
        <v>2002</v>
      </c>
      <c r="H13" s="1">
        <f t="shared" si="1"/>
        <v>3.9180555555555556</v>
      </c>
      <c r="I13" s="1">
        <f t="shared" si="2"/>
        <v>0</v>
      </c>
      <c r="J13" s="1">
        <f t="shared" si="3"/>
        <v>3.9180555555555556</v>
      </c>
      <c r="K13">
        <f t="shared" si="4"/>
        <v>0.6552376875122633</v>
      </c>
    </row>
    <row r="14" spans="1:11" x14ac:dyDescent="0.25">
      <c r="D14">
        <f t="shared" si="5"/>
        <v>12</v>
      </c>
      <c r="E14" s="5">
        <f t="shared" si="0"/>
        <v>42901</v>
      </c>
      <c r="F14">
        <f t="shared" si="6"/>
        <v>182</v>
      </c>
      <c r="G14">
        <f t="shared" si="7"/>
        <v>2184</v>
      </c>
      <c r="H14" s="1">
        <f t="shared" si="1"/>
        <v>3.9180555555555556</v>
      </c>
      <c r="I14" s="1">
        <f t="shared" si="2"/>
        <v>0</v>
      </c>
      <c r="J14" s="1">
        <f t="shared" si="3"/>
        <v>3.9180555555555556</v>
      </c>
      <c r="K14">
        <f t="shared" si="4"/>
        <v>0.63053305222976108</v>
      </c>
    </row>
    <row r="15" spans="1:11" x14ac:dyDescent="0.25">
      <c r="D15">
        <f t="shared" si="5"/>
        <v>13</v>
      </c>
      <c r="E15" s="5">
        <f t="shared" si="0"/>
        <v>43083</v>
      </c>
      <c r="F15">
        <f t="shared" si="6"/>
        <v>182</v>
      </c>
      <c r="G15">
        <f t="shared" si="7"/>
        <v>2366</v>
      </c>
      <c r="H15" s="1">
        <f t="shared" si="1"/>
        <v>3.9180555555555556</v>
      </c>
      <c r="I15" s="1">
        <f t="shared" si="2"/>
        <v>0</v>
      </c>
      <c r="J15" s="1">
        <f t="shared" si="3"/>
        <v>3.9180555555555556</v>
      </c>
      <c r="K15">
        <f t="shared" si="4"/>
        <v>0.60675986368189128</v>
      </c>
    </row>
    <row r="16" spans="1:11" x14ac:dyDescent="0.25">
      <c r="D16">
        <f t="shared" si="5"/>
        <v>14</v>
      </c>
      <c r="E16" s="5">
        <f t="shared" si="0"/>
        <v>43265</v>
      </c>
      <c r="F16">
        <f t="shared" si="6"/>
        <v>182</v>
      </c>
      <c r="G16">
        <f t="shared" si="7"/>
        <v>2548</v>
      </c>
      <c r="H16" s="1">
        <f t="shared" si="1"/>
        <v>3.9180555555555556</v>
      </c>
      <c r="I16" s="1">
        <f t="shared" si="2"/>
        <v>0</v>
      </c>
      <c r="J16" s="1">
        <f t="shared" si="3"/>
        <v>3.9180555555555556</v>
      </c>
      <c r="K16">
        <f t="shared" si="4"/>
        <v>0.58388300323567144</v>
      </c>
    </row>
    <row r="17" spans="4:11" x14ac:dyDescent="0.25">
      <c r="D17">
        <f t="shared" si="5"/>
        <v>15</v>
      </c>
      <c r="E17" s="5">
        <f t="shared" si="0"/>
        <v>43447</v>
      </c>
      <c r="F17">
        <f t="shared" si="6"/>
        <v>182</v>
      </c>
      <c r="G17">
        <f t="shared" si="7"/>
        <v>2730</v>
      </c>
      <c r="H17" s="1">
        <f t="shared" si="1"/>
        <v>3.9180555555555556</v>
      </c>
      <c r="I17" s="1">
        <f t="shared" si="2"/>
        <v>0</v>
      </c>
      <c r="J17" s="1">
        <f t="shared" si="3"/>
        <v>3.9180555555555556</v>
      </c>
      <c r="K17">
        <f t="shared" si="4"/>
        <v>0.56186867634712645</v>
      </c>
    </row>
    <row r="18" spans="4:11" x14ac:dyDescent="0.25">
      <c r="D18">
        <f t="shared" si="5"/>
        <v>16</v>
      </c>
      <c r="E18" s="5">
        <f t="shared" si="0"/>
        <v>43629</v>
      </c>
      <c r="F18">
        <f t="shared" si="6"/>
        <v>182</v>
      </c>
      <c r="G18">
        <f t="shared" si="7"/>
        <v>2912</v>
      </c>
      <c r="H18" s="1">
        <f t="shared" si="1"/>
        <v>3.9180555555555556</v>
      </c>
      <c r="I18" s="1">
        <f t="shared" si="2"/>
        <v>0</v>
      </c>
      <c r="J18" s="1">
        <f t="shared" si="3"/>
        <v>3.9180555555555556</v>
      </c>
      <c r="K18">
        <f t="shared" si="4"/>
        <v>0.54068436263873909</v>
      </c>
    </row>
    <row r="19" spans="4:11" x14ac:dyDescent="0.25">
      <c r="D19">
        <f t="shared" si="5"/>
        <v>17</v>
      </c>
      <c r="E19" s="5">
        <f t="shared" si="0"/>
        <v>43811</v>
      </c>
      <c r="F19">
        <f t="shared" si="6"/>
        <v>182</v>
      </c>
      <c r="G19">
        <f t="shared" si="7"/>
        <v>3094</v>
      </c>
      <c r="H19" s="1">
        <f t="shared" si="1"/>
        <v>3.9180555555555556</v>
      </c>
      <c r="I19" s="1">
        <f t="shared" si="2"/>
        <v>0</v>
      </c>
      <c r="J19" s="1">
        <f t="shared" si="3"/>
        <v>3.9180555555555556</v>
      </c>
      <c r="K19">
        <f t="shared" si="4"/>
        <v>0.52029876785914675</v>
      </c>
    </row>
    <row r="20" spans="4:11" x14ac:dyDescent="0.25">
      <c r="D20">
        <f>D19+1</f>
        <v>18</v>
      </c>
      <c r="E20" s="5">
        <f t="shared" si="0"/>
        <v>43993</v>
      </c>
      <c r="F20">
        <f t="shared" si="6"/>
        <v>182</v>
      </c>
      <c r="G20">
        <f t="shared" si="7"/>
        <v>3276</v>
      </c>
      <c r="H20" s="1">
        <f t="shared" si="1"/>
        <v>3.9180555555555556</v>
      </c>
      <c r="I20" s="1">
        <f t="shared" si="2"/>
        <v>0</v>
      </c>
      <c r="J20" s="1">
        <f t="shared" si="3"/>
        <v>3.9180555555555556</v>
      </c>
      <c r="K20">
        <f t="shared" si="4"/>
        <v>0.50068177765411526</v>
      </c>
    </row>
    <row r="21" spans="4:11" x14ac:dyDescent="0.25">
      <c r="D21">
        <f t="shared" si="5"/>
        <v>19</v>
      </c>
      <c r="E21" s="5">
        <f t="shared" si="0"/>
        <v>44175</v>
      </c>
      <c r="F21">
        <f t="shared" si="6"/>
        <v>182</v>
      </c>
      <c r="G21">
        <f t="shared" si="7"/>
        <v>3458</v>
      </c>
      <c r="H21" s="1">
        <f t="shared" si="1"/>
        <v>3.9180555555555556</v>
      </c>
      <c r="I21" s="1">
        <f t="shared" si="2"/>
        <v>0</v>
      </c>
      <c r="J21" s="1">
        <f t="shared" si="3"/>
        <v>3.9180555555555556</v>
      </c>
      <c r="K21">
        <f t="shared" si="4"/>
        <v>0.48180441308050281</v>
      </c>
    </row>
    <row r="22" spans="4:11" x14ac:dyDescent="0.25">
      <c r="D22">
        <f t="shared" si="5"/>
        <v>20</v>
      </c>
      <c r="E22" s="5">
        <f t="shared" si="0"/>
        <v>44357</v>
      </c>
      <c r="F22">
        <f t="shared" si="6"/>
        <v>182</v>
      </c>
      <c r="G22">
        <f t="shared" si="7"/>
        <v>3640</v>
      </c>
      <c r="H22" s="1">
        <f t="shared" si="1"/>
        <v>3.9180555555555556</v>
      </c>
      <c r="I22" s="1">
        <f t="shared" si="2"/>
        <v>0</v>
      </c>
      <c r="J22" s="1">
        <f t="shared" si="3"/>
        <v>3.9180555555555556</v>
      </c>
      <c r="K22">
        <f t="shared" si="4"/>
        <v>0.46363878779749262</v>
      </c>
    </row>
    <row r="23" spans="4:11" x14ac:dyDescent="0.25">
      <c r="D23">
        <f t="shared" si="5"/>
        <v>21</v>
      </c>
      <c r="E23" s="5">
        <f t="shared" si="0"/>
        <v>44539</v>
      </c>
      <c r="F23">
        <f t="shared" si="6"/>
        <v>182</v>
      </c>
      <c r="G23">
        <f t="shared" si="7"/>
        <v>3822</v>
      </c>
      <c r="H23" s="1">
        <f t="shared" si="1"/>
        <v>3.9180555555555556</v>
      </c>
      <c r="I23" s="1">
        <f t="shared" si="2"/>
        <v>0</v>
      </c>
      <c r="J23" s="1">
        <f t="shared" si="3"/>
        <v>3.9180555555555556</v>
      </c>
      <c r="K23">
        <f t="shared" si="4"/>
        <v>0.44615806687186044</v>
      </c>
    </row>
    <row r="24" spans="4:11" x14ac:dyDescent="0.25">
      <c r="D24">
        <f t="shared" si="5"/>
        <v>22</v>
      </c>
      <c r="E24" s="5">
        <f t="shared" si="0"/>
        <v>44721</v>
      </c>
      <c r="F24">
        <f t="shared" si="6"/>
        <v>182</v>
      </c>
      <c r="G24">
        <f t="shared" si="7"/>
        <v>4004</v>
      </c>
      <c r="H24" s="1">
        <f t="shared" si="1"/>
        <v>3.9180555555555556</v>
      </c>
      <c r="I24" s="1">
        <f t="shared" si="2"/>
        <v>0</v>
      </c>
      <c r="J24" s="1">
        <f t="shared" si="3"/>
        <v>3.9180555555555556</v>
      </c>
      <c r="K24">
        <f t="shared" si="4"/>
        <v>0.42933642713641829</v>
      </c>
    </row>
    <row r="25" spans="4:11" x14ac:dyDescent="0.25">
      <c r="D25">
        <f t="shared" si="5"/>
        <v>23</v>
      </c>
      <c r="E25" s="5">
        <f t="shared" si="0"/>
        <v>44903</v>
      </c>
      <c r="F25">
        <f t="shared" si="6"/>
        <v>182</v>
      </c>
      <c r="G25">
        <f t="shared" si="7"/>
        <v>4186</v>
      </c>
      <c r="H25" s="1">
        <f t="shared" si="1"/>
        <v>3.9180555555555556</v>
      </c>
      <c r="I25" s="1">
        <f t="shared" si="2"/>
        <v>0</v>
      </c>
      <c r="J25" s="1">
        <f t="shared" si="3"/>
        <v>3.9180555555555556</v>
      </c>
      <c r="K25">
        <f t="shared" si="4"/>
        <v>0.41314901904307777</v>
      </c>
    </row>
    <row r="26" spans="4:11" x14ac:dyDescent="0.25">
      <c r="D26">
        <f t="shared" si="5"/>
        <v>24</v>
      </c>
      <c r="E26" s="5">
        <f t="shared" si="0"/>
        <v>45085</v>
      </c>
      <c r="F26">
        <f t="shared" si="6"/>
        <v>182</v>
      </c>
      <c r="G26">
        <f t="shared" si="7"/>
        <v>4368</v>
      </c>
      <c r="H26" s="1">
        <f t="shared" si="1"/>
        <v>3.9180555555555556</v>
      </c>
      <c r="I26" s="1">
        <f t="shared" si="2"/>
        <v>0</v>
      </c>
      <c r="J26" s="1">
        <f t="shared" si="3"/>
        <v>3.9180555555555556</v>
      </c>
      <c r="K26">
        <f t="shared" si="4"/>
        <v>0.39757192995417856</v>
      </c>
    </row>
    <row r="27" spans="4:11" x14ac:dyDescent="0.25">
      <c r="D27">
        <f t="shared" si="5"/>
        <v>25</v>
      </c>
      <c r="E27" s="5">
        <f t="shared" si="0"/>
        <v>45267</v>
      </c>
      <c r="F27">
        <f t="shared" si="6"/>
        <v>182</v>
      </c>
      <c r="G27">
        <f t="shared" si="7"/>
        <v>4550</v>
      </c>
      <c r="H27" s="1">
        <f t="shared" si="1"/>
        <v>3.9180555555555556</v>
      </c>
      <c r="I27" s="1">
        <f t="shared" si="2"/>
        <v>0</v>
      </c>
      <c r="J27" s="1">
        <f t="shared" si="3"/>
        <v>3.9180555555555556</v>
      </c>
      <c r="K27">
        <f t="shared" si="4"/>
        <v>0.38258214881785668</v>
      </c>
    </row>
    <row r="28" spans="4:11" x14ac:dyDescent="0.25">
      <c r="D28">
        <f t="shared" si="5"/>
        <v>26</v>
      </c>
      <c r="E28" s="5">
        <f t="shared" si="0"/>
        <v>45449</v>
      </c>
      <c r="F28">
        <f t="shared" si="6"/>
        <v>182</v>
      </c>
      <c r="G28">
        <f t="shared" si="7"/>
        <v>4732</v>
      </c>
      <c r="H28" s="1">
        <f t="shared" si="1"/>
        <v>3.9180555555555556</v>
      </c>
      <c r="I28" s="1">
        <f t="shared" si="2"/>
        <v>0</v>
      </c>
      <c r="J28" s="1">
        <f t="shared" si="3"/>
        <v>3.9180555555555556</v>
      </c>
      <c r="K28">
        <f t="shared" si="4"/>
        <v>0.36815753217526737</v>
      </c>
    </row>
    <row r="29" spans="4:11" x14ac:dyDescent="0.25">
      <c r="D29">
        <f t="shared" si="5"/>
        <v>27</v>
      </c>
      <c r="E29" s="5">
        <f t="shared" si="0"/>
        <v>45631</v>
      </c>
      <c r="F29">
        <f t="shared" si="6"/>
        <v>182</v>
      </c>
      <c r="G29">
        <f t="shared" si="7"/>
        <v>4914</v>
      </c>
      <c r="H29" s="1">
        <f t="shared" si="1"/>
        <v>3.9180555555555556</v>
      </c>
      <c r="I29" s="1">
        <f t="shared" si="2"/>
        <v>0</v>
      </c>
      <c r="J29" s="1">
        <f t="shared" si="3"/>
        <v>3.9180555555555556</v>
      </c>
      <c r="K29">
        <f t="shared" si="4"/>
        <v>0.35427677144944936</v>
      </c>
    </row>
    <row r="30" spans="4:11" x14ac:dyDescent="0.25">
      <c r="D30">
        <f t="shared" si="5"/>
        <v>28</v>
      </c>
      <c r="E30" s="5">
        <f t="shared" si="0"/>
        <v>45813</v>
      </c>
      <c r="F30">
        <f t="shared" si="6"/>
        <v>182</v>
      </c>
      <c r="G30">
        <f t="shared" si="7"/>
        <v>5096</v>
      </c>
      <c r="H30" s="1">
        <f t="shared" si="1"/>
        <v>3.9180555555555556</v>
      </c>
      <c r="I30" s="1">
        <f t="shared" si="2"/>
        <v>0</v>
      </c>
      <c r="J30" s="1">
        <f t="shared" si="3"/>
        <v>3.9180555555555556</v>
      </c>
      <c r="K30">
        <f t="shared" si="4"/>
        <v>0.34091936146750712</v>
      </c>
    </row>
    <row r="31" spans="4:11" x14ac:dyDescent="0.25">
      <c r="D31">
        <f t="shared" si="5"/>
        <v>29</v>
      </c>
      <c r="E31" s="5">
        <f t="shared" si="0"/>
        <v>45995</v>
      </c>
      <c r="F31">
        <f t="shared" si="6"/>
        <v>182</v>
      </c>
      <c r="G31">
        <f t="shared" si="7"/>
        <v>5278</v>
      </c>
      <c r="H31" s="1">
        <f t="shared" si="1"/>
        <v>3.9180555555555556</v>
      </c>
      <c r="I31" s="1">
        <f t="shared" si="2"/>
        <v>0</v>
      </c>
      <c r="J31" s="1">
        <f t="shared" si="3"/>
        <v>3.9180555555555556</v>
      </c>
      <c r="K31">
        <f t="shared" si="4"/>
        <v>0.32806557016961163</v>
      </c>
    </row>
    <row r="32" spans="4:11" x14ac:dyDescent="0.25">
      <c r="D32">
        <f t="shared" si="5"/>
        <v>30</v>
      </c>
      <c r="E32" s="5">
        <f t="shared" si="0"/>
        <v>46177</v>
      </c>
      <c r="F32">
        <f t="shared" si="6"/>
        <v>182</v>
      </c>
      <c r="G32">
        <f t="shared" si="7"/>
        <v>5460</v>
      </c>
      <c r="H32" s="1">
        <f t="shared" si="1"/>
        <v>3.9180555555555556</v>
      </c>
      <c r="I32" s="1">
        <f t="shared" si="2"/>
        <v>0</v>
      </c>
      <c r="J32" s="1">
        <f t="shared" si="3"/>
        <v>3.9180555555555556</v>
      </c>
      <c r="K32">
        <f t="shared" si="4"/>
        <v>0.31569640946007188</v>
      </c>
    </row>
    <row r="33" spans="4:11" x14ac:dyDescent="0.25">
      <c r="D33">
        <f t="shared" si="5"/>
        <v>31</v>
      </c>
      <c r="E33" s="5">
        <f t="shared" si="0"/>
        <v>46359</v>
      </c>
      <c r="F33">
        <f t="shared" si="6"/>
        <v>182</v>
      </c>
      <c r="G33">
        <f t="shared" si="7"/>
        <v>5642</v>
      </c>
      <c r="H33" s="1">
        <f t="shared" si="1"/>
        <v>3.9180555555555556</v>
      </c>
      <c r="I33" s="1">
        <f t="shared" si="2"/>
        <v>0</v>
      </c>
      <c r="J33" s="1">
        <f t="shared" si="3"/>
        <v>3.9180555555555556</v>
      </c>
      <c r="K33">
        <f t="shared" si="4"/>
        <v>0.3037936071574181</v>
      </c>
    </row>
    <row r="34" spans="4:11" x14ac:dyDescent="0.25">
      <c r="D34">
        <f t="shared" si="5"/>
        <v>32</v>
      </c>
      <c r="E34" s="5">
        <f t="shared" si="0"/>
        <v>46541</v>
      </c>
      <c r="F34">
        <f t="shared" si="6"/>
        <v>182</v>
      </c>
      <c r="G34">
        <f t="shared" si="7"/>
        <v>5824</v>
      </c>
      <c r="H34" s="1">
        <f t="shared" si="1"/>
        <v>3.9180555555555556</v>
      </c>
      <c r="I34" s="1">
        <f t="shared" si="2"/>
        <v>0</v>
      </c>
      <c r="J34" s="1">
        <f t="shared" si="3"/>
        <v>3.9180555555555556</v>
      </c>
      <c r="K34">
        <f t="shared" si="4"/>
        <v>0.29233958000205956</v>
      </c>
    </row>
    <row r="35" spans="4:11" x14ac:dyDescent="0.25">
      <c r="D35">
        <f t="shared" si="5"/>
        <v>33</v>
      </c>
      <c r="E35" s="5">
        <f t="shared" si="0"/>
        <v>46723</v>
      </c>
      <c r="F35">
        <f t="shared" si="6"/>
        <v>182</v>
      </c>
      <c r="G35">
        <f t="shared" si="7"/>
        <v>6006</v>
      </c>
      <c r="H35" s="1">
        <f t="shared" si="1"/>
        <v>3.9180555555555556</v>
      </c>
      <c r="I35" s="1">
        <f t="shared" si="2"/>
        <v>0</v>
      </c>
      <c r="J35" s="1">
        <f t="shared" si="3"/>
        <v>3.9180555555555556</v>
      </c>
      <c r="K35">
        <f t="shared" si="4"/>
        <v>0.28131740768164404</v>
      </c>
    </row>
    <row r="36" spans="4:11" x14ac:dyDescent="0.25">
      <c r="D36">
        <f t="shared" si="5"/>
        <v>34</v>
      </c>
      <c r="E36" s="5">
        <f t="shared" si="0"/>
        <v>46905</v>
      </c>
      <c r="F36">
        <f t="shared" si="6"/>
        <v>182</v>
      </c>
      <c r="G36">
        <f t="shared" si="7"/>
        <v>6188</v>
      </c>
      <c r="H36" s="1">
        <f t="shared" si="1"/>
        <v>3.9180555555555556</v>
      </c>
      <c r="I36" s="1">
        <f t="shared" si="2"/>
        <v>0</v>
      </c>
      <c r="J36" s="1">
        <f t="shared" si="3"/>
        <v>3.9180555555555556</v>
      </c>
      <c r="K36">
        <f t="shared" si="4"/>
        <v>0.27071080783574625</v>
      </c>
    </row>
    <row r="37" spans="4:11" x14ac:dyDescent="0.25">
      <c r="D37">
        <f t="shared" si="5"/>
        <v>35</v>
      </c>
      <c r="E37" s="5">
        <f t="shared" si="0"/>
        <v>47087</v>
      </c>
      <c r="F37">
        <f t="shared" si="6"/>
        <v>182</v>
      </c>
      <c r="G37">
        <f t="shared" si="7"/>
        <v>6370</v>
      </c>
      <c r="H37" s="1">
        <f t="shared" si="1"/>
        <v>3.9180555555555556</v>
      </c>
      <c r="I37" s="1">
        <f t="shared" si="2"/>
        <v>0</v>
      </c>
      <c r="J37" s="1">
        <f t="shared" si="3"/>
        <v>3.9180555555555556</v>
      </c>
      <c r="K37">
        <f t="shared" si="4"/>
        <v>0.26050411200296347</v>
      </c>
    </row>
    <row r="38" spans="4:11" x14ac:dyDescent="0.25">
      <c r="D38">
        <f t="shared" si="5"/>
        <v>36</v>
      </c>
      <c r="E38" s="5">
        <f t="shared" si="0"/>
        <v>47269</v>
      </c>
      <c r="F38">
        <f t="shared" si="6"/>
        <v>182</v>
      </c>
      <c r="G38">
        <f t="shared" si="7"/>
        <v>6552</v>
      </c>
      <c r="H38" s="1">
        <f t="shared" si="1"/>
        <v>3.9180555555555556</v>
      </c>
      <c r="I38" s="1">
        <f t="shared" si="2"/>
        <v>0</v>
      </c>
      <c r="J38" s="1">
        <f t="shared" si="3"/>
        <v>3.9180555555555556</v>
      </c>
      <c r="K38">
        <f t="shared" si="4"/>
        <v>0.25068224247488496</v>
      </c>
    </row>
    <row r="39" spans="4:11" x14ac:dyDescent="0.25">
      <c r="D39">
        <f t="shared" si="5"/>
        <v>37</v>
      </c>
      <c r="E39" s="5">
        <f t="shared" si="0"/>
        <v>47451</v>
      </c>
      <c r="F39">
        <f t="shared" si="6"/>
        <v>182</v>
      </c>
      <c r="G39">
        <f t="shared" si="7"/>
        <v>6734</v>
      </c>
      <c r="H39" s="1">
        <f t="shared" si="1"/>
        <v>3.9180555555555556</v>
      </c>
      <c r="I39" s="1">
        <f t="shared" si="2"/>
        <v>0</v>
      </c>
      <c r="J39" s="1">
        <f t="shared" si="3"/>
        <v>3.9180555555555556</v>
      </c>
      <c r="K39">
        <f t="shared" si="4"/>
        <v>0.24123069002274383</v>
      </c>
    </row>
    <row r="40" spans="4:11" x14ac:dyDescent="0.25">
      <c r="D40">
        <f t="shared" si="5"/>
        <v>38</v>
      </c>
      <c r="E40" s="5">
        <f t="shared" si="0"/>
        <v>47633</v>
      </c>
      <c r="F40">
        <f t="shared" si="6"/>
        <v>182</v>
      </c>
      <c r="G40">
        <f t="shared" si="7"/>
        <v>6916</v>
      </c>
      <c r="H40" s="1">
        <f t="shared" si="1"/>
        <v>3.9180555555555556</v>
      </c>
      <c r="I40" s="1">
        <f t="shared" si="2"/>
        <v>0</v>
      </c>
      <c r="J40" s="1">
        <f t="shared" si="3"/>
        <v>3.9180555555555556</v>
      </c>
      <c r="K40">
        <f t="shared" si="4"/>
        <v>0.23213549246384776</v>
      </c>
    </row>
    <row r="41" spans="4:11" x14ac:dyDescent="0.25">
      <c r="D41">
        <f t="shared" si="5"/>
        <v>39</v>
      </c>
      <c r="E41" s="5">
        <f>E42-$B$7</f>
        <v>47815</v>
      </c>
      <c r="F41">
        <f t="shared" si="6"/>
        <v>182</v>
      </c>
      <c r="G41">
        <f t="shared" si="7"/>
        <v>7098</v>
      </c>
      <c r="H41" s="1">
        <f t="shared" si="1"/>
        <v>3.9180555555555556</v>
      </c>
      <c r="I41" s="1">
        <f t="shared" si="2"/>
        <v>0</v>
      </c>
      <c r="J41" s="1">
        <f t="shared" si="3"/>
        <v>3.9180555555555556</v>
      </c>
      <c r="K41">
        <f t="shared" si="4"/>
        <v>0.22338321403612676</v>
      </c>
    </row>
    <row r="42" spans="4:11" x14ac:dyDescent="0.25">
      <c r="D42">
        <f t="shared" si="5"/>
        <v>40</v>
      </c>
      <c r="E42" s="5">
        <f>B6</f>
        <v>47997</v>
      </c>
      <c r="F42">
        <f t="shared" si="6"/>
        <v>182</v>
      </c>
      <c r="G42">
        <f t="shared" si="7"/>
        <v>7280</v>
      </c>
      <c r="H42" s="1">
        <f t="shared" si="1"/>
        <v>3.9180555555555556</v>
      </c>
      <c r="I42" s="1">
        <f t="shared" si="2"/>
        <v>100</v>
      </c>
      <c r="J42" s="1">
        <f t="shared" si="3"/>
        <v>103.91805555555555</v>
      </c>
      <c r="K42">
        <f t="shared" si="4"/>
        <v>0.21496092555032845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C0D9B-8B0C-4103-9A30-3A4BB6BBBC44}">
  <sheetPr codeName="Hoja2"/>
  <dimension ref="A1:M27"/>
  <sheetViews>
    <sheetView zoomScale="66" workbookViewId="0">
      <selection activeCell="K3" sqref="K3"/>
    </sheetView>
  </sheetViews>
  <sheetFormatPr baseColWidth="10" defaultRowHeight="15" x14ac:dyDescent="0.25"/>
  <cols>
    <col min="1" max="1" width="28.7109375" bestFit="1" customWidth="1"/>
    <col min="2" max="2" width="23.5703125" bestFit="1" customWidth="1"/>
    <col min="4" max="4" width="5" customWidth="1"/>
    <col min="5" max="5" width="16.85546875" customWidth="1"/>
    <col min="7" max="7" width="15.140625" customWidth="1"/>
    <col min="11" max="11" width="14.7109375" customWidth="1"/>
  </cols>
  <sheetData>
    <row r="1" spans="1:13" x14ac:dyDescent="0.25">
      <c r="A1" t="s">
        <v>0</v>
      </c>
      <c r="B1" s="1">
        <v>100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17</v>
      </c>
      <c r="J1" t="s">
        <v>18</v>
      </c>
      <c r="K1" t="s">
        <v>105</v>
      </c>
    </row>
    <row r="2" spans="1:13" x14ac:dyDescent="0.25">
      <c r="A2" t="s">
        <v>1</v>
      </c>
      <c r="B2" s="2">
        <v>7.7499999999999999E-2</v>
      </c>
      <c r="C2">
        <v>5.7990000000000004</v>
      </c>
      <c r="D2">
        <v>0</v>
      </c>
      <c r="E2" s="17">
        <f>IF(D2="",,E3-$B$7)</f>
        <v>43993</v>
      </c>
      <c r="G2">
        <v>0</v>
      </c>
      <c r="H2" s="1">
        <f>IF(D2="",,$B$1*$B$2*F2/360)</f>
        <v>0</v>
      </c>
      <c r="I2" s="1">
        <f>IF(E2=$B$6,$B$1,0)</f>
        <v>0</v>
      </c>
      <c r="J2" s="1">
        <f>IF(D2="",,H2+I2)</f>
        <v>0</v>
      </c>
      <c r="K2" s="33">
        <f>IF(D2="",,1/(1+$B$3*$B$7/360)^(G2/182))</f>
        <v>1</v>
      </c>
      <c r="M2" s="32" t="s">
        <v>104</v>
      </c>
    </row>
    <row r="3" spans="1:13" x14ac:dyDescent="0.25">
      <c r="A3" t="s">
        <v>2</v>
      </c>
      <c r="B3" s="2">
        <f>B2+B4</f>
        <v>5.7994078215490241E-2</v>
      </c>
      <c r="C3">
        <v>5.766</v>
      </c>
      <c r="D3">
        <f>D2+1</f>
        <v>1</v>
      </c>
      <c r="E3" s="17">
        <f t="shared" ref="E3:E22" si="0">IF(D3="",,E4-$B$7)</f>
        <v>44175</v>
      </c>
      <c r="F3">
        <f>IF(D3="",,E3-E2)</f>
        <v>182</v>
      </c>
      <c r="G3">
        <f>IF(D3="",,F3+G2)</f>
        <v>182</v>
      </c>
      <c r="H3" s="1">
        <f t="shared" ref="H3:H24" si="1">IF(D3="",,$B$1*$B$2*F3/360)</f>
        <v>3.9180555555555556</v>
      </c>
      <c r="I3" s="1">
        <f>IF(E3=$B$6,$B$1,0)</f>
        <v>0</v>
      </c>
      <c r="J3" s="1">
        <f t="shared" ref="J3:J24" si="2">IF(D3="",,H3+I3)</f>
        <v>3.9180555555555556</v>
      </c>
      <c r="K3" s="33">
        <f>IF(D3="",,1/(1+$B$3*$B$7/360)^(G3/182))</f>
        <v>0.9715159033064491</v>
      </c>
    </row>
    <row r="4" spans="1:13" ht="15.75" x14ac:dyDescent="0.25">
      <c r="A4" s="3" t="s">
        <v>3</v>
      </c>
      <c r="B4" s="4">
        <v>-1.9505921784509758E-2</v>
      </c>
      <c r="D4">
        <f t="shared" ref="D4:D24" si="3">D3+1</f>
        <v>2</v>
      </c>
      <c r="E4" s="5">
        <f t="shared" si="0"/>
        <v>44357</v>
      </c>
      <c r="F4">
        <f t="shared" ref="F4:F24" si="4">IF(D4="",,E4-E3)</f>
        <v>182</v>
      </c>
      <c r="G4">
        <f t="shared" ref="G4:G24" si="5">IF(D4="",,F4+G3)</f>
        <v>364</v>
      </c>
      <c r="H4" s="1">
        <f t="shared" si="1"/>
        <v>3.9180555555555556</v>
      </c>
      <c r="I4" s="1">
        <f t="shared" ref="I4:I23" si="6">IF(E4=$B$6,$B$1,0)</f>
        <v>0</v>
      </c>
      <c r="J4" s="1">
        <f t="shared" si="2"/>
        <v>3.9180555555555556</v>
      </c>
      <c r="K4" s="33">
        <f>IF(D4="",,1/(1+$B$3*$B$7/360)^(G4/182))</f>
        <v>0.94384315037734567</v>
      </c>
    </row>
    <row r="5" spans="1:13" x14ac:dyDescent="0.25">
      <c r="D5">
        <f t="shared" si="3"/>
        <v>3</v>
      </c>
      <c r="E5" s="5">
        <f t="shared" si="0"/>
        <v>44539</v>
      </c>
      <c r="F5">
        <f t="shared" si="4"/>
        <v>182</v>
      </c>
      <c r="G5">
        <f t="shared" si="5"/>
        <v>546</v>
      </c>
      <c r="H5" s="1">
        <f t="shared" si="1"/>
        <v>3.9180555555555556</v>
      </c>
      <c r="I5" s="1">
        <f t="shared" si="6"/>
        <v>0</v>
      </c>
      <c r="J5" s="1">
        <f t="shared" si="2"/>
        <v>3.9180555555555556</v>
      </c>
      <c r="K5" s="33">
        <f t="shared" ref="K5:K24" si="7">IF(D5="",,1/(1+$B$3*$B$7/360)^(G5/182))</f>
        <v>0.91695863081845164</v>
      </c>
    </row>
    <row r="6" spans="1:13" x14ac:dyDescent="0.25">
      <c r="A6" t="s">
        <v>4</v>
      </c>
      <c r="B6" s="5">
        <v>47997</v>
      </c>
      <c r="D6">
        <f t="shared" si="3"/>
        <v>4</v>
      </c>
      <c r="E6" s="5">
        <f t="shared" si="0"/>
        <v>44721</v>
      </c>
      <c r="F6">
        <f t="shared" si="4"/>
        <v>182</v>
      </c>
      <c r="G6">
        <f t="shared" si="5"/>
        <v>728</v>
      </c>
      <c r="H6" s="1">
        <f t="shared" si="1"/>
        <v>3.9180555555555556</v>
      </c>
      <c r="I6" s="1">
        <f t="shared" si="6"/>
        <v>0</v>
      </c>
      <c r="J6" s="1">
        <f t="shared" si="2"/>
        <v>3.9180555555555556</v>
      </c>
      <c r="K6" s="33">
        <f t="shared" si="7"/>
        <v>0.89083989251423279</v>
      </c>
    </row>
    <row r="7" spans="1:13" x14ac:dyDescent="0.25">
      <c r="A7" t="s">
        <v>5</v>
      </c>
      <c r="B7">
        <v>182</v>
      </c>
      <c r="D7">
        <f t="shared" si="3"/>
        <v>5</v>
      </c>
      <c r="E7" s="5">
        <f t="shared" si="0"/>
        <v>44903</v>
      </c>
      <c r="F7">
        <f t="shared" si="4"/>
        <v>182</v>
      </c>
      <c r="G7">
        <f t="shared" si="5"/>
        <v>910</v>
      </c>
      <c r="H7" s="1">
        <f t="shared" si="1"/>
        <v>3.9180555555555556</v>
      </c>
      <c r="I7" s="1">
        <f t="shared" si="6"/>
        <v>0</v>
      </c>
      <c r="J7" s="1">
        <f t="shared" si="2"/>
        <v>3.9180555555555556</v>
      </c>
      <c r="K7" s="33">
        <f t="shared" si="7"/>
        <v>0.86546512287738486</v>
      </c>
    </row>
    <row r="8" spans="1:13" x14ac:dyDescent="0.25">
      <c r="A8" t="s">
        <v>6</v>
      </c>
      <c r="B8">
        <v>20</v>
      </c>
      <c r="D8">
        <f t="shared" si="3"/>
        <v>6</v>
      </c>
      <c r="E8" s="5">
        <f t="shared" si="0"/>
        <v>45085</v>
      </c>
      <c r="F8">
        <f t="shared" si="4"/>
        <v>182</v>
      </c>
      <c r="G8">
        <f t="shared" si="5"/>
        <v>1092</v>
      </c>
      <c r="H8" s="1">
        <f t="shared" si="1"/>
        <v>3.9180555555555556</v>
      </c>
      <c r="I8" s="1">
        <f t="shared" si="6"/>
        <v>0</v>
      </c>
      <c r="J8" s="1">
        <f t="shared" si="2"/>
        <v>3.9180555555555556</v>
      </c>
      <c r="K8" s="33">
        <f t="shared" si="7"/>
        <v>0.84081313063244945</v>
      </c>
    </row>
    <row r="9" spans="1:13" x14ac:dyDescent="0.25">
      <c r="A9" t="s">
        <v>7</v>
      </c>
      <c r="B9">
        <f>B8*2</f>
        <v>40</v>
      </c>
      <c r="D9">
        <f t="shared" si="3"/>
        <v>7</v>
      </c>
      <c r="E9" s="5">
        <f t="shared" si="0"/>
        <v>45267</v>
      </c>
      <c r="F9">
        <f t="shared" si="4"/>
        <v>182</v>
      </c>
      <c r="G9">
        <f t="shared" si="5"/>
        <v>1274</v>
      </c>
      <c r="H9" s="1">
        <f t="shared" si="1"/>
        <v>3.9180555555555556</v>
      </c>
      <c r="I9" s="1">
        <f t="shared" si="6"/>
        <v>0</v>
      </c>
      <c r="J9" s="1">
        <f t="shared" si="2"/>
        <v>3.9180555555555556</v>
      </c>
      <c r="K9" s="33">
        <f t="shared" si="7"/>
        <v>0.81686332811830753</v>
      </c>
    </row>
    <row r="10" spans="1:13" x14ac:dyDescent="0.25">
      <c r="C10" t="s">
        <v>26</v>
      </c>
      <c r="D10">
        <f t="shared" si="3"/>
        <v>8</v>
      </c>
      <c r="E10" s="5">
        <f t="shared" si="0"/>
        <v>45449</v>
      </c>
      <c r="F10">
        <f t="shared" si="4"/>
        <v>182</v>
      </c>
      <c r="G10">
        <f t="shared" si="5"/>
        <v>1456</v>
      </c>
      <c r="H10" s="1">
        <f t="shared" si="1"/>
        <v>3.9180555555555556</v>
      </c>
      <c r="I10" s="1">
        <f t="shared" si="6"/>
        <v>0</v>
      </c>
      <c r="J10" s="1">
        <f t="shared" si="2"/>
        <v>3.9180555555555556</v>
      </c>
      <c r="K10" s="33">
        <f t="shared" si="7"/>
        <v>0.79359571409476981</v>
      </c>
    </row>
    <row r="11" spans="1:13" ht="15.75" x14ac:dyDescent="0.25">
      <c r="A11" s="6" t="s">
        <v>8</v>
      </c>
      <c r="B11" s="7">
        <f>ROUND(SUMPRODUCT(K:K,J:J),6)</f>
        <v>115.82363599999999</v>
      </c>
      <c r="C11">
        <v>99.09836</v>
      </c>
      <c r="D11">
        <f t="shared" si="3"/>
        <v>9</v>
      </c>
      <c r="E11" s="5">
        <f t="shared" si="0"/>
        <v>45631</v>
      </c>
      <c r="F11">
        <f t="shared" si="4"/>
        <v>182</v>
      </c>
      <c r="G11">
        <f t="shared" si="5"/>
        <v>1638</v>
      </c>
      <c r="H11" s="1">
        <f t="shared" si="1"/>
        <v>3.9180555555555556</v>
      </c>
      <c r="I11" s="1">
        <f t="shared" si="6"/>
        <v>0</v>
      </c>
      <c r="J11" s="1">
        <f t="shared" si="2"/>
        <v>3.9180555555555556</v>
      </c>
      <c r="K11" s="33">
        <f t="shared" si="7"/>
        <v>0.77099085703890669</v>
      </c>
    </row>
    <row r="12" spans="1:13" x14ac:dyDescent="0.25">
      <c r="A12" t="s">
        <v>9</v>
      </c>
      <c r="B12" t="str">
        <f>IF(B11=B1,"A LA PAR",IF(B11&lt;B1,"BAJO PAR","ARRIBA DE PAR"))</f>
        <v>ARRIBA DE PAR</v>
      </c>
      <c r="D12">
        <f t="shared" si="3"/>
        <v>10</v>
      </c>
      <c r="E12" s="5">
        <f t="shared" si="0"/>
        <v>45813</v>
      </c>
      <c r="F12">
        <f t="shared" si="4"/>
        <v>182</v>
      </c>
      <c r="G12">
        <f t="shared" si="5"/>
        <v>1820</v>
      </c>
      <c r="H12" s="1">
        <f t="shared" si="1"/>
        <v>3.9180555555555556</v>
      </c>
      <c r="I12" s="1">
        <f t="shared" si="6"/>
        <v>0</v>
      </c>
      <c r="J12" s="1">
        <f t="shared" si="2"/>
        <v>3.9180555555555556</v>
      </c>
      <c r="K12" s="33">
        <f t="shared" si="7"/>
        <v>0.74902987891716688</v>
      </c>
    </row>
    <row r="13" spans="1:13" x14ac:dyDescent="0.25">
      <c r="A13" t="s">
        <v>10</v>
      </c>
      <c r="B13" t="str">
        <f>IF(B2=B3,"BALANCEADO EN TASAS",IF(B2&gt;B3,"CON PREMIO EN TASAS", "PENALIZADO EN TASAS"))</f>
        <v>CON PREMIO EN TASAS</v>
      </c>
      <c r="D13">
        <f t="shared" si="3"/>
        <v>11</v>
      </c>
      <c r="E13" s="5">
        <f t="shared" si="0"/>
        <v>45995</v>
      </c>
      <c r="F13">
        <f t="shared" si="4"/>
        <v>182</v>
      </c>
      <c r="G13">
        <f t="shared" si="5"/>
        <v>2002</v>
      </c>
      <c r="H13" s="1">
        <f t="shared" si="1"/>
        <v>3.9180555555555556</v>
      </c>
      <c r="I13" s="1">
        <f t="shared" si="6"/>
        <v>0</v>
      </c>
      <c r="J13" s="1">
        <f t="shared" si="2"/>
        <v>3.9180555555555556</v>
      </c>
      <c r="K13" s="33">
        <f t="shared" si="7"/>
        <v>0.72769443941973155</v>
      </c>
    </row>
    <row r="14" spans="1:13" x14ac:dyDescent="0.25">
      <c r="A14" t="s">
        <v>19</v>
      </c>
      <c r="B14" s="11">
        <v>44165</v>
      </c>
      <c r="D14">
        <f t="shared" si="3"/>
        <v>12</v>
      </c>
      <c r="E14" s="5">
        <f t="shared" si="0"/>
        <v>46177</v>
      </c>
      <c r="F14">
        <f t="shared" si="4"/>
        <v>182</v>
      </c>
      <c r="G14">
        <f t="shared" si="5"/>
        <v>2184</v>
      </c>
      <c r="H14" s="1">
        <f t="shared" si="1"/>
        <v>3.9180555555555556</v>
      </c>
      <c r="I14" s="1">
        <f t="shared" si="6"/>
        <v>0</v>
      </c>
      <c r="J14" s="1">
        <f t="shared" si="2"/>
        <v>3.9180555555555556</v>
      </c>
      <c r="K14" s="33">
        <f t="shared" si="7"/>
        <v>0.7069667206439405</v>
      </c>
    </row>
    <row r="15" spans="1:13" x14ac:dyDescent="0.25">
      <c r="A15" t="s">
        <v>20</v>
      </c>
      <c r="B15" s="11">
        <f>B14+0</f>
        <v>44165</v>
      </c>
      <c r="D15">
        <f t="shared" si="3"/>
        <v>13</v>
      </c>
      <c r="E15" s="5">
        <f t="shared" si="0"/>
        <v>46359</v>
      </c>
      <c r="F15">
        <f t="shared" si="4"/>
        <v>182</v>
      </c>
      <c r="G15">
        <f t="shared" si="5"/>
        <v>2366</v>
      </c>
      <c r="H15" s="1">
        <f t="shared" si="1"/>
        <v>3.9180555555555556</v>
      </c>
      <c r="I15" s="1">
        <f t="shared" si="6"/>
        <v>0</v>
      </c>
      <c r="J15" s="1">
        <f t="shared" si="2"/>
        <v>3.9180555555555556</v>
      </c>
      <c r="K15" s="33">
        <f t="shared" si="7"/>
        <v>0.68682941221399585</v>
      </c>
    </row>
    <row r="16" spans="1:13" x14ac:dyDescent="0.25">
      <c r="D16">
        <f t="shared" si="3"/>
        <v>14</v>
      </c>
      <c r="E16" s="5">
        <f t="shared" si="0"/>
        <v>46541</v>
      </c>
      <c r="F16">
        <f t="shared" si="4"/>
        <v>182</v>
      </c>
      <c r="G16">
        <f t="shared" si="5"/>
        <v>2548</v>
      </c>
      <c r="H16" s="1">
        <f t="shared" si="1"/>
        <v>3.9180555555555556</v>
      </c>
      <c r="I16" s="1">
        <f t="shared" si="6"/>
        <v>0</v>
      </c>
      <c r="J16" s="1">
        <f t="shared" si="2"/>
        <v>3.9180555555555556</v>
      </c>
      <c r="K16" s="33">
        <f t="shared" si="7"/>
        <v>0.66726569682451764</v>
      </c>
    </row>
    <row r="17" spans="1:11" x14ac:dyDescent="0.25">
      <c r="A17" t="s">
        <v>21</v>
      </c>
      <c r="B17">
        <f>B6-B14</f>
        <v>3832</v>
      </c>
      <c r="D17">
        <f t="shared" si="3"/>
        <v>15</v>
      </c>
      <c r="E17" s="5">
        <f t="shared" si="0"/>
        <v>46723</v>
      </c>
      <c r="F17">
        <f t="shared" si="4"/>
        <v>182</v>
      </c>
      <c r="G17">
        <f t="shared" si="5"/>
        <v>2730</v>
      </c>
      <c r="H17" s="1">
        <f t="shared" si="1"/>
        <v>3.9180555555555556</v>
      </c>
      <c r="I17" s="1">
        <f t="shared" si="6"/>
        <v>0</v>
      </c>
      <c r="J17" s="1">
        <f t="shared" si="2"/>
        <v>3.9180555555555556</v>
      </c>
      <c r="K17" s="33">
        <f t="shared" si="7"/>
        <v>0.64825923619587855</v>
      </c>
    </row>
    <row r="18" spans="1:11" x14ac:dyDescent="0.25">
      <c r="A18" t="s">
        <v>11</v>
      </c>
      <c r="B18">
        <f>ROUNDUP(B17/B7,0)</f>
        <v>22</v>
      </c>
      <c r="C18" t="s">
        <v>103</v>
      </c>
      <c r="D18">
        <f t="shared" si="3"/>
        <v>16</v>
      </c>
      <c r="E18" s="5">
        <f t="shared" si="0"/>
        <v>46905</v>
      </c>
      <c r="F18">
        <f t="shared" si="4"/>
        <v>182</v>
      </c>
      <c r="G18">
        <f t="shared" si="5"/>
        <v>2912</v>
      </c>
      <c r="H18" s="1">
        <f t="shared" si="1"/>
        <v>3.9180555555555556</v>
      </c>
      <c r="I18" s="1">
        <f t="shared" si="6"/>
        <v>0</v>
      </c>
      <c r="J18" s="1">
        <f t="shared" si="2"/>
        <v>3.9180555555555556</v>
      </c>
      <c r="K18" s="33">
        <f t="shared" si="7"/>
        <v>0.62979415742958755</v>
      </c>
    </row>
    <row r="19" spans="1:11" x14ac:dyDescent="0.25">
      <c r="A19" t="s">
        <v>22</v>
      </c>
      <c r="B19">
        <f>B14-E2</f>
        <v>172</v>
      </c>
      <c r="D19">
        <f t="shared" si="3"/>
        <v>17</v>
      </c>
      <c r="E19" s="5">
        <f t="shared" si="0"/>
        <v>47087</v>
      </c>
      <c r="F19">
        <f t="shared" si="4"/>
        <v>182</v>
      </c>
      <c r="G19">
        <f t="shared" si="5"/>
        <v>3094</v>
      </c>
      <c r="H19" s="1">
        <f t="shared" si="1"/>
        <v>3.9180555555555556</v>
      </c>
      <c r="I19" s="1">
        <f t="shared" si="6"/>
        <v>0</v>
      </c>
      <c r="J19" s="1">
        <f t="shared" si="2"/>
        <v>3.9180555555555556</v>
      </c>
      <c r="K19" s="33">
        <f t="shared" si="7"/>
        <v>0.61185503975232969</v>
      </c>
    </row>
    <row r="20" spans="1:11" ht="15.75" x14ac:dyDescent="0.25">
      <c r="A20" t="s">
        <v>23</v>
      </c>
      <c r="B20" s="8">
        <f>B11*(1+$B$3*182/360)^(B19/B7)</f>
        <v>119.03035121947465</v>
      </c>
      <c r="C20">
        <v>115.328</v>
      </c>
      <c r="D20">
        <f>D19+1</f>
        <v>18</v>
      </c>
      <c r="E20" s="5">
        <f t="shared" si="0"/>
        <v>47269</v>
      </c>
      <c r="F20">
        <f t="shared" si="4"/>
        <v>182</v>
      </c>
      <c r="G20">
        <f t="shared" si="5"/>
        <v>3276</v>
      </c>
      <c r="H20" s="1">
        <f t="shared" si="1"/>
        <v>3.9180555555555556</v>
      </c>
      <c r="I20" s="1">
        <f t="shared" si="6"/>
        <v>0</v>
      </c>
      <c r="J20" s="1">
        <f t="shared" si="2"/>
        <v>3.9180555555555556</v>
      </c>
      <c r="K20" s="33">
        <f t="shared" si="7"/>
        <v>0.59442690163758782</v>
      </c>
    </row>
    <row r="21" spans="1:11" ht="15.75" x14ac:dyDescent="0.25">
      <c r="A21" t="s">
        <v>24</v>
      </c>
      <c r="B21" s="9">
        <f>B1*B2*B19/360</f>
        <v>3.7027777777777779</v>
      </c>
      <c r="D21">
        <f t="shared" si="3"/>
        <v>19</v>
      </c>
      <c r="E21" s="5">
        <f t="shared" si="0"/>
        <v>47451</v>
      </c>
      <c r="F21">
        <f t="shared" si="4"/>
        <v>182</v>
      </c>
      <c r="G21">
        <f t="shared" si="5"/>
        <v>3458</v>
      </c>
      <c r="H21" s="1">
        <f t="shared" si="1"/>
        <v>3.9180555555555556</v>
      </c>
      <c r="I21" s="1">
        <f t="shared" si="6"/>
        <v>0</v>
      </c>
      <c r="J21" s="1">
        <f t="shared" si="2"/>
        <v>3.9180555555555556</v>
      </c>
      <c r="K21" s="33">
        <f t="shared" si="7"/>
        <v>0.57749518829409496</v>
      </c>
    </row>
    <row r="22" spans="1:11" ht="15.75" x14ac:dyDescent="0.25">
      <c r="A22" t="s">
        <v>25</v>
      </c>
      <c r="B22" s="10">
        <f>B20-B21</f>
        <v>115.32757344169687</v>
      </c>
      <c r="C22">
        <v>115.61199999999999</v>
      </c>
      <c r="D22">
        <f t="shared" si="3"/>
        <v>20</v>
      </c>
      <c r="E22" s="5">
        <f t="shared" si="0"/>
        <v>47633</v>
      </c>
      <c r="F22">
        <f t="shared" si="4"/>
        <v>182</v>
      </c>
      <c r="G22">
        <f t="shared" si="5"/>
        <v>3640</v>
      </c>
      <c r="H22" s="1">
        <f t="shared" si="1"/>
        <v>3.9180555555555556</v>
      </c>
      <c r="I22" s="1">
        <f t="shared" si="6"/>
        <v>0</v>
      </c>
      <c r="J22" s="1">
        <f t="shared" si="2"/>
        <v>3.9180555555555556</v>
      </c>
      <c r="K22" s="33">
        <f t="shared" si="7"/>
        <v>0.5610457595106656</v>
      </c>
    </row>
    <row r="23" spans="1:11" x14ac:dyDescent="0.25">
      <c r="D23">
        <f t="shared" si="3"/>
        <v>21</v>
      </c>
      <c r="E23" s="5">
        <f>IF(D23="",,E24-$B$7)</f>
        <v>47815</v>
      </c>
      <c r="F23">
        <f t="shared" si="4"/>
        <v>182</v>
      </c>
      <c r="G23">
        <f t="shared" si="5"/>
        <v>3822</v>
      </c>
      <c r="H23" s="1">
        <f t="shared" si="1"/>
        <v>3.9180555555555556</v>
      </c>
      <c r="I23" s="1">
        <f t="shared" si="6"/>
        <v>0</v>
      </c>
      <c r="J23" s="1">
        <f t="shared" si="2"/>
        <v>3.9180555555555556</v>
      </c>
      <c r="K23" s="33">
        <f t="shared" si="7"/>
        <v>0.54506487784725699</v>
      </c>
    </row>
    <row r="24" spans="1:11" x14ac:dyDescent="0.25">
      <c r="D24">
        <f t="shared" si="3"/>
        <v>22</v>
      </c>
      <c r="E24" s="5">
        <f>IF(D24="",,B6)</f>
        <v>47997</v>
      </c>
      <c r="F24">
        <f t="shared" si="4"/>
        <v>182</v>
      </c>
      <c r="G24">
        <f t="shared" si="5"/>
        <v>4004</v>
      </c>
      <c r="H24" s="1">
        <f t="shared" si="1"/>
        <v>3.9180555555555556</v>
      </c>
      <c r="I24" s="1">
        <f>IF(E24=$B$6,$B$1,0)</f>
        <v>100</v>
      </c>
      <c r="J24" s="1">
        <f t="shared" si="2"/>
        <v>103.91805555555555</v>
      </c>
      <c r="K24" s="33">
        <f t="shared" si="7"/>
        <v>0.52953919716239717</v>
      </c>
    </row>
    <row r="25" spans="1:11" x14ac:dyDescent="0.25">
      <c r="A25" s="12" t="s">
        <v>27</v>
      </c>
      <c r="B25" s="13">
        <f>ipn_precio_bono(B1,B3,B2,B7,B17,B19,"PrecioSucio")</f>
        <v>119.03035083751463</v>
      </c>
    </row>
    <row r="26" spans="1:11" x14ac:dyDescent="0.25">
      <c r="A26" s="14" t="s">
        <v>28</v>
      </c>
      <c r="B26" s="15">
        <f>ipn_precio_bono(B1,B3,B2,B7,B17,B19,"IntDev")</f>
        <v>3.7027777777777779</v>
      </c>
    </row>
    <row r="27" spans="1:11" ht="15.75" x14ac:dyDescent="0.25">
      <c r="A27" s="16" t="s">
        <v>29</v>
      </c>
      <c r="B27" s="13">
        <f>ipn_precio_bono(B1,B3,B2,B7,B17,B19,"PrecioLimpio")</f>
        <v>115.32757305973685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9819-3AF5-4416-9BB6-E0DE7E58D581}">
  <sheetPr codeName="Hoja4"/>
  <dimension ref="A1:AE1853"/>
  <sheetViews>
    <sheetView showGridLines="0" tabSelected="1" topLeftCell="N1" zoomScale="77" workbookViewId="0">
      <selection activeCell="W3" sqref="W3"/>
    </sheetView>
  </sheetViews>
  <sheetFormatPr baseColWidth="10" defaultColWidth="10.140625" defaultRowHeight="15" x14ac:dyDescent="0.25"/>
  <cols>
    <col min="1" max="1" width="10.140625" style="18"/>
    <col min="2" max="2" width="18.5703125" bestFit="1" customWidth="1"/>
    <col min="3" max="3" width="14.42578125" bestFit="1" customWidth="1"/>
    <col min="4" max="4" width="3.42578125" bestFit="1" customWidth="1"/>
    <col min="5" max="5" width="8.42578125" bestFit="1" customWidth="1"/>
    <col min="6" max="6" width="8.140625" bestFit="1" customWidth="1"/>
    <col min="7" max="7" width="15" style="38" customWidth="1"/>
    <col min="8" max="8" width="12.7109375" bestFit="1" customWidth="1"/>
    <col min="9" max="9" width="13" bestFit="1" customWidth="1"/>
    <col min="10" max="10" width="18" customWidth="1"/>
    <col min="11" max="11" width="14.140625" bestFit="1" customWidth="1"/>
    <col min="12" max="12" width="14.42578125" bestFit="1" customWidth="1"/>
    <col min="13" max="13" width="16.7109375" bestFit="1" customWidth="1"/>
    <col min="14" max="14" width="18.140625" bestFit="1" customWidth="1"/>
    <col min="15" max="15" width="25.5703125" bestFit="1" customWidth="1"/>
    <col min="16" max="16" width="30.42578125" bestFit="1" customWidth="1"/>
    <col min="17" max="17" width="19.85546875" customWidth="1"/>
    <col min="18" max="18" width="11.42578125" bestFit="1" customWidth="1"/>
    <col min="19" max="19" width="9.85546875" bestFit="1" customWidth="1"/>
    <col min="20" max="20" width="24" customWidth="1"/>
    <col min="21" max="21" width="14" customWidth="1"/>
    <col min="22" max="22" width="10.42578125" bestFit="1" customWidth="1"/>
    <col min="23" max="23" width="12.7109375" bestFit="1" customWidth="1"/>
    <col min="24" max="24" width="12.5703125" bestFit="1" customWidth="1"/>
    <col min="25" max="25" width="18.42578125" bestFit="1" customWidth="1"/>
    <col min="26" max="26" width="17" bestFit="1" customWidth="1"/>
    <col min="27" max="27" width="14.7109375" bestFit="1" customWidth="1"/>
    <col min="28" max="28" width="17.5703125" bestFit="1" customWidth="1"/>
    <col min="29" max="29" width="22.85546875" bestFit="1" customWidth="1"/>
    <col min="30" max="30" width="8.5703125" bestFit="1" customWidth="1"/>
    <col min="31" max="31" width="17.140625" bestFit="1" customWidth="1"/>
  </cols>
  <sheetData>
    <row r="1" spans="1:31" s="18" customFormat="1" x14ac:dyDescent="0.25">
      <c r="A1" s="21" t="s">
        <v>97</v>
      </c>
      <c r="B1" s="21" t="s">
        <v>30</v>
      </c>
      <c r="C1" s="21" t="s">
        <v>31</v>
      </c>
      <c r="D1" s="21" t="s">
        <v>32</v>
      </c>
      <c r="E1" s="21" t="s">
        <v>33</v>
      </c>
      <c r="F1" s="21" t="s">
        <v>34</v>
      </c>
      <c r="G1" s="21" t="s">
        <v>35</v>
      </c>
      <c r="H1" s="21" t="s">
        <v>36</v>
      </c>
      <c r="I1" s="21" t="s">
        <v>37</v>
      </c>
      <c r="J1" s="21" t="s">
        <v>38</v>
      </c>
      <c r="K1" s="21" t="s">
        <v>39</v>
      </c>
      <c r="L1" s="21" t="s">
        <v>40</v>
      </c>
      <c r="M1" s="21" t="s">
        <v>41</v>
      </c>
      <c r="N1" s="21" t="s">
        <v>42</v>
      </c>
      <c r="O1" s="21" t="s">
        <v>43</v>
      </c>
      <c r="P1" s="21" t="s">
        <v>44</v>
      </c>
      <c r="Q1" s="21" t="s">
        <v>45</v>
      </c>
      <c r="R1" s="21" t="s">
        <v>46</v>
      </c>
      <c r="S1" s="21" t="s">
        <v>47</v>
      </c>
      <c r="T1" s="21" t="s">
        <v>48</v>
      </c>
      <c r="U1" s="21" t="s">
        <v>49</v>
      </c>
      <c r="V1" s="21" t="s">
        <v>50</v>
      </c>
      <c r="W1" s="21" t="s">
        <v>51</v>
      </c>
      <c r="X1" s="21" t="s">
        <v>52</v>
      </c>
      <c r="Y1" s="21" t="s">
        <v>53</v>
      </c>
      <c r="Z1" s="21" t="s">
        <v>54</v>
      </c>
      <c r="AA1" s="21" t="s">
        <v>55</v>
      </c>
      <c r="AB1" s="21" t="s">
        <v>56</v>
      </c>
      <c r="AC1" s="21" t="s">
        <v>57</v>
      </c>
      <c r="AD1" s="21" t="s">
        <v>58</v>
      </c>
      <c r="AE1" s="21" t="s">
        <v>59</v>
      </c>
    </row>
    <row r="2" spans="1:31" x14ac:dyDescent="0.25">
      <c r="A2" s="30" t="s">
        <v>117</v>
      </c>
      <c r="B2" s="22" t="str">
        <f>VLOOKUP($A$2,'Bonos M'!$A$2:$AE$18,'Bonos M'!B1,FALSE)</f>
        <v>MD</v>
      </c>
      <c r="C2" s="23">
        <f>VLOOKUP($A$2,'Bonos M'!$A$1:$AE$18,'Bonos M'!C1,FALSE)</f>
        <v>45596</v>
      </c>
      <c r="D2" s="22" t="str">
        <f>VLOOKUP($A$2,'Bonos M'!$A$1:$AE$18,'Bonos M'!D1,FALSE)</f>
        <v>M</v>
      </c>
      <c r="E2" s="22" t="str">
        <f>VLOOKUP($A$2,'Bonos M'!$A$1:$AE$18,'Bonos M'!E1,FALSE)</f>
        <v>BONOS</v>
      </c>
      <c r="F2" s="22">
        <f>VLOOKUP($A$2,'Bonos M'!$A$1:$AE$18,'Bonos M'!F1,FALSE)</f>
        <v>530731</v>
      </c>
      <c r="G2" s="37">
        <f>VLOOKUP($A$2,'Bonos M'!$A$1:$AE$18,'Bonos M'!G1,FALSE)</f>
        <v>56096</v>
      </c>
      <c r="H2" s="24">
        <f>VLOOKUP($A$2,'Bonos M'!$A$1:$AE$18,'Bonos M'!H1,FALSE)</f>
        <v>79.788804999999996</v>
      </c>
      <c r="I2" s="24">
        <f>VLOOKUP($A$2,'Bonos M'!$A$1:$AE$18,'Bonos M'!I1,FALSE)</f>
        <v>78.544360999999995</v>
      </c>
      <c r="J2" s="24">
        <f>VLOOKUP($A$2,'Bonos M'!$A$1:$AE$18,'Bonos M'!J1,FALSE)</f>
        <v>1.2444440000000001</v>
      </c>
      <c r="K2" s="22">
        <f>VLOOKUP($A$2,'Bonos M'!$A$1:$AE$18,'Bonos M'!K1,FALSE)</f>
        <v>10500</v>
      </c>
      <c r="L2" s="22">
        <f>VLOOKUP($A$2,'Bonos M'!$A$1:$AE$18,'Bonos M'!L1,FALSE)</f>
        <v>0</v>
      </c>
      <c r="M2" s="24">
        <f>VLOOKUP($A$2,'Bonos M'!$A$1:$AE$18,'Bonos M'!M1,FALSE)</f>
        <v>79.811145999999994</v>
      </c>
      <c r="N2" s="24">
        <f>VLOOKUP($A$2,'Bonos M'!$A$1:$AE$18,'Bonos M'!N1,FALSE)</f>
        <v>78.544478999999995</v>
      </c>
      <c r="O2" s="24">
        <f>VLOOKUP($A$2,'Bonos M'!$A$1:$AE$18,'Bonos M'!O1,FALSE)</f>
        <v>1.266667</v>
      </c>
      <c r="P2" s="22">
        <f>VLOOKUP($A$2,'Bonos M'!$A$1:$AE$18,'Bonos M'!P1,FALSE)</f>
        <v>10499</v>
      </c>
      <c r="Q2" s="22">
        <f>VLOOKUP($A$2,'Bonos M'!$A$1:$AE$18,'Bonos M'!Q1,FALSE)</f>
        <v>0</v>
      </c>
      <c r="R2" s="22">
        <f>VLOOKUP($A$2,'Bonos M'!$A$1:$AE$18,'Bonos M'!R1,FALSE)</f>
        <v>11466</v>
      </c>
      <c r="S2" s="22">
        <f>VLOOKUP($A$2,'Bonos M'!$A$1:$AE$18,'Bonos M'!S1,FALSE)</f>
        <v>0</v>
      </c>
      <c r="T2" s="22" t="str">
        <f>VLOOKUP($A$2,'Bonos M'!$A$1:$AE$18,'Bonos M'!T1,FALSE)</f>
        <v>VAL025012</v>
      </c>
      <c r="U2" s="22">
        <f>VLOOKUP($A$2,'Bonos M'!$A$1:$AE$18,'Bonos M'!U1,FALSE)</f>
        <v>1</v>
      </c>
      <c r="V2" s="22">
        <f>VLOOKUP($A$2,'Bonos M'!$A$1:$AE$18,'Bonos M'!V1,FALSE)</f>
        <v>9.3003160000000005</v>
      </c>
      <c r="W2" s="22">
        <f>VLOOKUP($A$2,'Bonos M'!$A$1:$AE$18,'Bonos M'!W1,FALSE)</f>
        <v>156.03058799999999</v>
      </c>
      <c r="X2" s="25">
        <f>VLOOKUP($A$2,'Bonos M'!$A$1:$AE$18,'Bonos M'!X1,FALSE)/100</f>
        <v>0.10339999999999999</v>
      </c>
      <c r="Y2" s="22" t="str">
        <f>VLOOKUP($A$2,'Bonos M'!$A$1:$AE$18,'Bonos M'!Y1,FALSE)</f>
        <v>M_BONOS_530731</v>
      </c>
      <c r="Z2" s="23">
        <f>VLOOKUP($A$2,'Bonos M'!$A$1:$AE$18,'Bonos M'!Z1,FALSE)</f>
        <v>45540</v>
      </c>
      <c r="AA2" s="23">
        <f>VLOOKUP($A$2,'Bonos M'!$A$1:$AE$18,'Bonos M'!AA1,FALSE)</f>
        <v>45722</v>
      </c>
      <c r="AB2" s="25">
        <f>VLOOKUP($A$2,'Bonos M'!$A$1:$AE$18,'Bonos M'!AB1,FALSE)</f>
        <v>0.08</v>
      </c>
      <c r="AC2" s="25">
        <f>VLOOKUP($A$2,'Bonos M'!$A$1:$AE$18,'Bonos M'!AC1,FALSE)</f>
        <v>0.08</v>
      </c>
      <c r="AD2" s="22" t="str">
        <f>VLOOKUP($A$2,'Bonos M'!$A$1:$AE$18,'Bonos M'!AD1,FALSE)</f>
        <v>MPS</v>
      </c>
      <c r="AE2" s="22" t="str">
        <f>VLOOKUP($A$2,'Bonos M'!$A$1:$AE$18,'Bonos M'!AE1,FALSE)</f>
        <v>MX0MGO0001E4</v>
      </c>
    </row>
    <row r="3" spans="1:31" x14ac:dyDescent="0.25">
      <c r="G3" s="31" t="s">
        <v>102</v>
      </c>
      <c r="H3" s="24">
        <f>ipn_precio_bono($C$4,$C$5,$C$6,$C$7,$C$8,$C$11,"PrecioSucio")</f>
        <v>79.788804944422381</v>
      </c>
      <c r="I3" s="24">
        <f>ipn_precio_bono($C$4,$C$5,$C$6,$C$7,$C$8,$C$11,"PrecioLimpio")</f>
        <v>78.544360499977941</v>
      </c>
      <c r="J3" s="24">
        <f>ipn_precio_bono($C$4,$C$5,$C$6,$C$7,$C$8,$C$11,"IntDev")</f>
        <v>1.2444444444444445</v>
      </c>
      <c r="U3" s="21" t="s">
        <v>127</v>
      </c>
      <c r="V3" s="22">
        <f>ipn_duracion_bono(C4,C5,C6,C7,C8,C11,"PrecioSucio")/m</f>
        <v>9.3011698632285693</v>
      </c>
      <c r="W3">
        <f>ipn_duracion_efectiva(C4,C5,C6,C7,C8,C11)</f>
        <v>-0.11859809202296949</v>
      </c>
    </row>
    <row r="4" spans="1:31" x14ac:dyDescent="0.25">
      <c r="B4" s="29" t="s">
        <v>0</v>
      </c>
      <c r="C4" s="26">
        <v>100</v>
      </c>
    </row>
    <row r="5" spans="1:31" x14ac:dyDescent="0.25">
      <c r="B5" s="29" t="s">
        <v>98</v>
      </c>
      <c r="C5" s="27">
        <f>X2</f>
        <v>0.10339999999999999</v>
      </c>
      <c r="F5" s="36" t="s">
        <v>118</v>
      </c>
      <c r="G5" s="21" t="s">
        <v>11</v>
      </c>
      <c r="H5" s="21" t="s">
        <v>106</v>
      </c>
      <c r="I5" s="21" t="s">
        <v>107</v>
      </c>
      <c r="J5" s="21" t="s">
        <v>108</v>
      </c>
      <c r="K5" s="21" t="s">
        <v>109</v>
      </c>
      <c r="L5" s="21" t="s">
        <v>110</v>
      </c>
      <c r="M5" s="21" t="s">
        <v>111</v>
      </c>
      <c r="N5" s="21" t="s">
        <v>18</v>
      </c>
      <c r="O5" s="21" t="s">
        <v>112</v>
      </c>
      <c r="P5" s="21" t="s">
        <v>113</v>
      </c>
      <c r="Q5" s="21" t="s">
        <v>114</v>
      </c>
      <c r="R5" s="21" t="s">
        <v>115</v>
      </c>
      <c r="T5" s="31" t="s">
        <v>122</v>
      </c>
      <c r="U5" s="40">
        <f>SUMPRODUCT(R6:R1853,Q6:Q1853)/H3</f>
        <v>19.056753491245615</v>
      </c>
    </row>
    <row r="6" spans="1:31" x14ac:dyDescent="0.25">
      <c r="B6" s="29" t="s">
        <v>99</v>
      </c>
      <c r="C6" s="27">
        <f>AB2</f>
        <v>0.08</v>
      </c>
      <c r="F6" s="35">
        <v>0</v>
      </c>
      <c r="G6" s="38">
        <f>IF(F6&lt;=$C$9,F6,"")</f>
        <v>0</v>
      </c>
      <c r="H6" s="34">
        <f>IF(G6=""," ",$Z$2)</f>
        <v>45540</v>
      </c>
      <c r="I6" s="34">
        <f>IF(G6="",,H6+182)</f>
        <v>45722</v>
      </c>
      <c r="T6" s="31" t="s">
        <v>123</v>
      </c>
      <c r="U6" s="40">
        <f>U5/(360/182)</f>
        <v>9.6342475983519495</v>
      </c>
      <c r="V6" t="s">
        <v>124</v>
      </c>
    </row>
    <row r="7" spans="1:31" x14ac:dyDescent="0.25">
      <c r="B7" s="29" t="s">
        <v>5</v>
      </c>
      <c r="C7" s="28">
        <v>182</v>
      </c>
      <c r="F7" s="35">
        <v>1</v>
      </c>
      <c r="G7" s="38">
        <f t="shared" ref="G7:G65" si="0">IF(F7&lt;=$C$9,F7,"")</f>
        <v>1</v>
      </c>
      <c r="H7" s="34">
        <f>IF(G7="","",I6)</f>
        <v>45722</v>
      </c>
      <c r="I7" s="34">
        <f>IF(G7="","",H7+182)</f>
        <v>45904</v>
      </c>
      <c r="J7">
        <f>IF(G7="","",H7-$H$6)</f>
        <v>182</v>
      </c>
      <c r="K7">
        <f>IF(G7="","",H7-H6)</f>
        <v>182</v>
      </c>
      <c r="L7" s="33">
        <f>IF(G7="","",$C$4*$C$6*$C$7/360)</f>
        <v>4.0444444444444443</v>
      </c>
      <c r="M7">
        <f>IF(G7="","",IF(H7=$G$2,100,0))</f>
        <v>0</v>
      </c>
      <c r="N7" s="33">
        <f>IF(G7="","",L7+M7)</f>
        <v>4.0444444444444443</v>
      </c>
      <c r="O7" s="33">
        <f>IF(G7="","",1/(1+$C$5*K7/360)^(J7/K7))</f>
        <v>0.95032242327994276</v>
      </c>
      <c r="P7">
        <f>IF(G7="","",H7-$C$12)</f>
        <v>126</v>
      </c>
      <c r="Q7" s="33">
        <f>IF(G7="","",(P7/K7))</f>
        <v>0.69230769230769229</v>
      </c>
      <c r="R7" s="39">
        <f>IF(G7="","",N7*O7)</f>
        <v>3.8435262452655463</v>
      </c>
    </row>
    <row r="8" spans="1:31" x14ac:dyDescent="0.25">
      <c r="B8" s="29" t="s">
        <v>100</v>
      </c>
      <c r="C8" s="26">
        <f>G2-C2</f>
        <v>10500</v>
      </c>
      <c r="F8" s="35">
        <v>2</v>
      </c>
      <c r="G8" s="38">
        <f t="shared" si="0"/>
        <v>2</v>
      </c>
      <c r="H8" s="34">
        <f t="shared" ref="H8:H65" si="1">IF(G8="","",I7)</f>
        <v>45904</v>
      </c>
      <c r="I8" s="34">
        <f t="shared" ref="I8:I65" si="2">IF(G8="","",H8+182)</f>
        <v>46086</v>
      </c>
      <c r="J8">
        <f t="shared" ref="J8:J71" si="3">IF(G8="","",H8-$H$6)</f>
        <v>364</v>
      </c>
      <c r="K8">
        <f t="shared" ref="K8:K71" si="4">IF(G8="","",H8-H7)</f>
        <v>182</v>
      </c>
      <c r="L8" s="33">
        <f t="shared" ref="L8:L71" si="5">IF(G8="","",$C$4*$C$6*$C$7/360)</f>
        <v>4.0444444444444443</v>
      </c>
      <c r="M8">
        <f t="shared" ref="M8:M71" si="6">IF(G8="","",IF(H8=$G$2,100,0))</f>
        <v>0</v>
      </c>
      <c r="N8" s="33">
        <f t="shared" ref="N8:N71" si="7">IF(G8="","",L8+M8)</f>
        <v>4.0444444444444443</v>
      </c>
      <c r="O8" s="33">
        <f t="shared" ref="O8:O71" si="8">IF(G8="","",1/(1+$C$5*K8/360)^(J8/K8))</f>
        <v>0.90311270818866274</v>
      </c>
      <c r="P8">
        <f>IF(G8="","",H8-$C$12)</f>
        <v>308</v>
      </c>
      <c r="Q8" s="33">
        <f t="shared" ref="Q8:Q71" si="9">IF(G8="","",(P8/K8))</f>
        <v>1.6923076923076923</v>
      </c>
      <c r="R8" s="39">
        <f t="shared" ref="R8:R71" si="10">IF(G8="","",N8*O8)</f>
        <v>3.6525891753408137</v>
      </c>
    </row>
    <row r="9" spans="1:31" x14ac:dyDescent="0.25">
      <c r="B9" s="29" t="s">
        <v>11</v>
      </c>
      <c r="C9" s="26">
        <f>ROUNDUP(C8/C7,0)</f>
        <v>58</v>
      </c>
      <c r="F9" s="35">
        <v>3</v>
      </c>
      <c r="G9" s="38">
        <f t="shared" si="0"/>
        <v>3</v>
      </c>
      <c r="H9" s="34">
        <f t="shared" si="1"/>
        <v>46086</v>
      </c>
      <c r="I9" s="34">
        <f t="shared" si="2"/>
        <v>46268</v>
      </c>
      <c r="J9">
        <f t="shared" si="3"/>
        <v>546</v>
      </c>
      <c r="K9">
        <f t="shared" si="4"/>
        <v>182</v>
      </c>
      <c r="L9" s="33">
        <f t="shared" si="5"/>
        <v>4.0444444444444443</v>
      </c>
      <c r="M9">
        <f t="shared" si="6"/>
        <v>0</v>
      </c>
      <c r="N9" s="33">
        <f t="shared" si="7"/>
        <v>4.0444444444444443</v>
      </c>
      <c r="O9" s="33">
        <f t="shared" si="8"/>
        <v>0.85824825734076171</v>
      </c>
      <c r="P9">
        <f t="shared" ref="P9:P71" si="11">IF(G9="","",H9-$C$12)</f>
        <v>490</v>
      </c>
      <c r="Q9" s="33">
        <f t="shared" si="9"/>
        <v>2.6923076923076925</v>
      </c>
      <c r="R9" s="39">
        <f t="shared" si="10"/>
        <v>3.4711373963559695</v>
      </c>
    </row>
    <row r="10" spans="1:31" x14ac:dyDescent="0.25">
      <c r="B10" s="29" t="s">
        <v>116</v>
      </c>
      <c r="C10" s="26">
        <f>C9*C7</f>
        <v>10556</v>
      </c>
      <c r="F10" s="35">
        <v>4</v>
      </c>
      <c r="G10" s="38">
        <f t="shared" si="0"/>
        <v>4</v>
      </c>
      <c r="H10" s="34">
        <f t="shared" si="1"/>
        <v>46268</v>
      </c>
      <c r="I10" s="34">
        <f t="shared" si="2"/>
        <v>46450</v>
      </c>
      <c r="J10">
        <f t="shared" si="3"/>
        <v>728</v>
      </c>
      <c r="K10">
        <f t="shared" si="4"/>
        <v>182</v>
      </c>
      <c r="L10" s="33">
        <f t="shared" si="5"/>
        <v>4.0444444444444443</v>
      </c>
      <c r="M10">
        <f t="shared" si="6"/>
        <v>0</v>
      </c>
      <c r="N10" s="33">
        <f t="shared" si="7"/>
        <v>4.0444444444444443</v>
      </c>
      <c r="O10" s="33">
        <f t="shared" si="8"/>
        <v>0.81561256369186064</v>
      </c>
      <c r="P10">
        <f t="shared" si="11"/>
        <v>672</v>
      </c>
      <c r="Q10" s="33">
        <f t="shared" si="9"/>
        <v>3.6923076923076925</v>
      </c>
      <c r="R10" s="39">
        <f t="shared" si="10"/>
        <v>3.2986997020426361</v>
      </c>
    </row>
    <row r="11" spans="1:31" x14ac:dyDescent="0.25">
      <c r="A11" s="18" t="s">
        <v>121</v>
      </c>
      <c r="B11" s="29" t="s">
        <v>101</v>
      </c>
      <c r="C11" s="26">
        <f>C10-C8</f>
        <v>56</v>
      </c>
      <c r="F11" s="35">
        <v>5</v>
      </c>
      <c r="G11" s="38">
        <f t="shared" si="0"/>
        <v>5</v>
      </c>
      <c r="H11" s="34">
        <f t="shared" si="1"/>
        <v>46450</v>
      </c>
      <c r="I11" s="34">
        <f t="shared" si="2"/>
        <v>46632</v>
      </c>
      <c r="J11">
        <f t="shared" si="3"/>
        <v>910</v>
      </c>
      <c r="K11">
        <f t="shared" si="4"/>
        <v>182</v>
      </c>
      <c r="L11" s="33">
        <f t="shared" si="5"/>
        <v>4.0444444444444443</v>
      </c>
      <c r="M11">
        <f t="shared" si="6"/>
        <v>0</v>
      </c>
      <c r="N11" s="33">
        <f t="shared" si="7"/>
        <v>4.0444444444444443</v>
      </c>
      <c r="O11" s="33">
        <f t="shared" si="8"/>
        <v>0.77509490798521552</v>
      </c>
      <c r="P11">
        <f t="shared" si="11"/>
        <v>854</v>
      </c>
      <c r="Q11" s="33">
        <f t="shared" si="9"/>
        <v>4.6923076923076925</v>
      </c>
      <c r="R11" s="39">
        <f t="shared" si="10"/>
        <v>3.1348282945179826</v>
      </c>
    </row>
    <row r="12" spans="1:31" x14ac:dyDescent="0.25">
      <c r="A12" s="18" t="s">
        <v>120</v>
      </c>
      <c r="B12" s="29" t="s">
        <v>119</v>
      </c>
      <c r="C12" s="26">
        <f>C2</f>
        <v>45596</v>
      </c>
      <c r="F12" s="35">
        <v>6</v>
      </c>
      <c r="G12" s="38">
        <f t="shared" si="0"/>
        <v>6</v>
      </c>
      <c r="H12" s="34">
        <f t="shared" si="1"/>
        <v>46632</v>
      </c>
      <c r="I12" s="34">
        <f t="shared" si="2"/>
        <v>46814</v>
      </c>
      <c r="J12">
        <f t="shared" si="3"/>
        <v>1092</v>
      </c>
      <c r="K12">
        <f t="shared" si="4"/>
        <v>182</v>
      </c>
      <c r="L12" s="33">
        <f t="shared" si="5"/>
        <v>4.0444444444444443</v>
      </c>
      <c r="M12">
        <f t="shared" si="6"/>
        <v>0</v>
      </c>
      <c r="N12" s="33">
        <f t="shared" si="7"/>
        <v>4.0444444444444443</v>
      </c>
      <c r="O12" s="33">
        <f t="shared" si="8"/>
        <v>0.73659007122845432</v>
      </c>
      <c r="P12">
        <f t="shared" si="11"/>
        <v>1036</v>
      </c>
      <c r="Q12" s="33">
        <f t="shared" si="9"/>
        <v>5.6923076923076925</v>
      </c>
      <c r="R12" s="39">
        <f t="shared" si="10"/>
        <v>2.9790976214128597</v>
      </c>
    </row>
    <row r="13" spans="1:31" x14ac:dyDescent="0.25">
      <c r="B13" s="29" t="s">
        <v>125</v>
      </c>
      <c r="C13" s="41">
        <f>(G2-C12)/360</f>
        <v>29.166666666666668</v>
      </c>
      <c r="F13" s="35">
        <v>7</v>
      </c>
      <c r="G13" s="38">
        <f t="shared" si="0"/>
        <v>7</v>
      </c>
      <c r="H13" s="34">
        <f t="shared" si="1"/>
        <v>46814</v>
      </c>
      <c r="I13" s="34">
        <f t="shared" si="2"/>
        <v>46996</v>
      </c>
      <c r="J13">
        <f t="shared" si="3"/>
        <v>1274</v>
      </c>
      <c r="K13">
        <f t="shared" si="4"/>
        <v>182</v>
      </c>
      <c r="L13" s="33">
        <f t="shared" si="5"/>
        <v>4.0444444444444443</v>
      </c>
      <c r="M13">
        <f t="shared" si="6"/>
        <v>0</v>
      </c>
      <c r="N13" s="33">
        <f t="shared" si="7"/>
        <v>4.0444444444444443</v>
      </c>
      <c r="O13" s="33">
        <f t="shared" si="8"/>
        <v>0.69999806145377041</v>
      </c>
      <c r="P13">
        <f t="shared" si="11"/>
        <v>1218</v>
      </c>
      <c r="Q13" s="33">
        <f t="shared" si="9"/>
        <v>6.6923076923076925</v>
      </c>
      <c r="R13" s="39">
        <f t="shared" si="10"/>
        <v>2.8311032707685824</v>
      </c>
    </row>
    <row r="14" spans="1:31" x14ac:dyDescent="0.25">
      <c r="F14" s="35">
        <v>8</v>
      </c>
      <c r="G14" s="38">
        <f t="shared" si="0"/>
        <v>8</v>
      </c>
      <c r="H14" s="34">
        <f t="shared" si="1"/>
        <v>46996</v>
      </c>
      <c r="I14" s="34">
        <f t="shared" si="2"/>
        <v>47178</v>
      </c>
      <c r="J14">
        <f t="shared" si="3"/>
        <v>1456</v>
      </c>
      <c r="K14">
        <f t="shared" si="4"/>
        <v>182</v>
      </c>
      <c r="L14" s="33">
        <f t="shared" si="5"/>
        <v>4.0444444444444443</v>
      </c>
      <c r="M14">
        <f t="shared" si="6"/>
        <v>0</v>
      </c>
      <c r="N14" s="33">
        <f t="shared" si="7"/>
        <v>4.0444444444444443</v>
      </c>
      <c r="O14" s="33">
        <f t="shared" si="8"/>
        <v>0.66522385405200934</v>
      </c>
      <c r="P14">
        <f t="shared" si="11"/>
        <v>1400</v>
      </c>
      <c r="Q14" s="33">
        <f t="shared" si="9"/>
        <v>7.6923076923076925</v>
      </c>
      <c r="R14" s="39">
        <f t="shared" si="10"/>
        <v>2.6904609208325709</v>
      </c>
    </row>
    <row r="15" spans="1:31" x14ac:dyDescent="0.25">
      <c r="B15" s="42" t="s">
        <v>126</v>
      </c>
      <c r="C15">
        <f>360/C7</f>
        <v>1.9780219780219781</v>
      </c>
      <c r="F15" s="35">
        <v>9</v>
      </c>
      <c r="G15" s="38">
        <f t="shared" si="0"/>
        <v>9</v>
      </c>
      <c r="H15" s="34">
        <f t="shared" si="1"/>
        <v>47178</v>
      </c>
      <c r="I15" s="34">
        <f t="shared" si="2"/>
        <v>47360</v>
      </c>
      <c r="J15">
        <f t="shared" si="3"/>
        <v>1638</v>
      </c>
      <c r="K15">
        <f t="shared" si="4"/>
        <v>182</v>
      </c>
      <c r="L15" s="33">
        <f t="shared" si="5"/>
        <v>4.0444444444444443</v>
      </c>
      <c r="M15">
        <f t="shared" si="6"/>
        <v>0</v>
      </c>
      <c r="N15" s="33">
        <f t="shared" si="7"/>
        <v>4.0444444444444443</v>
      </c>
      <c r="O15" s="33">
        <f t="shared" si="8"/>
        <v>0.6321771450063286</v>
      </c>
      <c r="P15">
        <f t="shared" si="11"/>
        <v>1582</v>
      </c>
      <c r="Q15" s="33">
        <f t="shared" si="9"/>
        <v>8.6923076923076916</v>
      </c>
      <c r="R15" s="39">
        <f t="shared" si="10"/>
        <v>2.5568053420255956</v>
      </c>
    </row>
    <row r="16" spans="1:31" x14ac:dyDescent="0.25">
      <c r="F16" s="35">
        <v>10</v>
      </c>
      <c r="G16" s="38">
        <f t="shared" si="0"/>
        <v>10</v>
      </c>
      <c r="H16" s="34">
        <f t="shared" si="1"/>
        <v>47360</v>
      </c>
      <c r="I16" s="34">
        <f t="shared" si="2"/>
        <v>47542</v>
      </c>
      <c r="J16">
        <f t="shared" si="3"/>
        <v>1820</v>
      </c>
      <c r="K16">
        <f t="shared" si="4"/>
        <v>182</v>
      </c>
      <c r="L16" s="33">
        <f t="shared" si="5"/>
        <v>4.0444444444444443</v>
      </c>
      <c r="M16">
        <f t="shared" si="6"/>
        <v>0</v>
      </c>
      <c r="N16" s="33">
        <f t="shared" si="7"/>
        <v>4.0444444444444443</v>
      </c>
      <c r="O16" s="33">
        <f t="shared" si="8"/>
        <v>0.60077211638460981</v>
      </c>
      <c r="P16">
        <f t="shared" si="11"/>
        <v>1764</v>
      </c>
      <c r="Q16" s="33">
        <f t="shared" si="9"/>
        <v>9.6923076923076916</v>
      </c>
      <c r="R16" s="39">
        <f t="shared" si="10"/>
        <v>2.4297894484888665</v>
      </c>
    </row>
    <row r="17" spans="6:18" x14ac:dyDescent="0.25">
      <c r="F17" s="35">
        <v>11</v>
      </c>
      <c r="G17" s="38">
        <f t="shared" si="0"/>
        <v>11</v>
      </c>
      <c r="H17" s="34">
        <f t="shared" si="1"/>
        <v>47542</v>
      </c>
      <c r="I17" s="34">
        <f t="shared" si="2"/>
        <v>47724</v>
      </c>
      <c r="J17">
        <f t="shared" si="3"/>
        <v>2002</v>
      </c>
      <c r="K17">
        <f t="shared" si="4"/>
        <v>182</v>
      </c>
      <c r="L17" s="33">
        <f t="shared" si="5"/>
        <v>4.0444444444444443</v>
      </c>
      <c r="M17">
        <f t="shared" si="6"/>
        <v>0</v>
      </c>
      <c r="N17" s="33">
        <f t="shared" si="7"/>
        <v>4.0444444444444443</v>
      </c>
      <c r="O17" s="33">
        <f t="shared" si="8"/>
        <v>0.57092721348164222</v>
      </c>
      <c r="P17">
        <f t="shared" si="11"/>
        <v>1946</v>
      </c>
      <c r="Q17" s="33">
        <f t="shared" si="9"/>
        <v>10.692307692307692</v>
      </c>
      <c r="R17" s="39">
        <f t="shared" si="10"/>
        <v>2.3090833967479751</v>
      </c>
    </row>
    <row r="18" spans="6:18" x14ac:dyDescent="0.25">
      <c r="F18" s="35">
        <v>12</v>
      </c>
      <c r="G18" s="38">
        <f t="shared" si="0"/>
        <v>12</v>
      </c>
      <c r="H18" s="34">
        <f t="shared" si="1"/>
        <v>47724</v>
      </c>
      <c r="I18" s="34">
        <f t="shared" si="2"/>
        <v>47906</v>
      </c>
      <c r="J18">
        <f t="shared" si="3"/>
        <v>2184</v>
      </c>
      <c r="K18">
        <f t="shared" si="4"/>
        <v>182</v>
      </c>
      <c r="L18" s="33">
        <f t="shared" si="5"/>
        <v>4.0444444444444443</v>
      </c>
      <c r="M18">
        <f t="shared" si="6"/>
        <v>0</v>
      </c>
      <c r="N18" s="33">
        <f t="shared" si="7"/>
        <v>4.0444444444444443</v>
      </c>
      <c r="O18" s="33">
        <f t="shared" si="8"/>
        <v>0.54256493303233944</v>
      </c>
      <c r="P18">
        <f t="shared" si="11"/>
        <v>2128</v>
      </c>
      <c r="Q18" s="33">
        <f t="shared" si="9"/>
        <v>11.692307692307692</v>
      </c>
      <c r="R18" s="39">
        <f t="shared" si="10"/>
        <v>2.1943737291530172</v>
      </c>
    </row>
    <row r="19" spans="6:18" x14ac:dyDescent="0.25">
      <c r="F19" s="35">
        <v>13</v>
      </c>
      <c r="G19" s="38">
        <f t="shared" si="0"/>
        <v>13</v>
      </c>
      <c r="H19" s="34">
        <f t="shared" si="1"/>
        <v>47906</v>
      </c>
      <c r="I19" s="34">
        <f t="shared" si="2"/>
        <v>48088</v>
      </c>
      <c r="J19">
        <f t="shared" si="3"/>
        <v>2366</v>
      </c>
      <c r="K19">
        <f t="shared" si="4"/>
        <v>182</v>
      </c>
      <c r="L19" s="33">
        <f t="shared" si="5"/>
        <v>4.0444444444444443</v>
      </c>
      <c r="M19">
        <f t="shared" si="6"/>
        <v>0</v>
      </c>
      <c r="N19" s="33">
        <f t="shared" si="7"/>
        <v>4.0444444444444443</v>
      </c>
      <c r="O19" s="33">
        <f t="shared" si="8"/>
        <v>0.51561162194601262</v>
      </c>
      <c r="P19">
        <f t="shared" si="11"/>
        <v>2310</v>
      </c>
      <c r="Q19" s="33">
        <f t="shared" si="9"/>
        <v>12.692307692307692</v>
      </c>
      <c r="R19" s="39">
        <f t="shared" si="10"/>
        <v>2.0853625598705396</v>
      </c>
    </row>
    <row r="20" spans="6:18" x14ac:dyDescent="0.25">
      <c r="F20" s="35">
        <v>14</v>
      </c>
      <c r="G20" s="38">
        <f t="shared" si="0"/>
        <v>14</v>
      </c>
      <c r="H20" s="34">
        <f t="shared" si="1"/>
        <v>48088</v>
      </c>
      <c r="I20" s="34">
        <f t="shared" si="2"/>
        <v>48270</v>
      </c>
      <c r="J20">
        <f t="shared" si="3"/>
        <v>2548</v>
      </c>
      <c r="K20">
        <f t="shared" si="4"/>
        <v>182</v>
      </c>
      <c r="L20" s="33">
        <f t="shared" si="5"/>
        <v>4.0444444444444443</v>
      </c>
      <c r="M20">
        <f t="shared" si="6"/>
        <v>0</v>
      </c>
      <c r="N20" s="33">
        <f t="shared" si="7"/>
        <v>4.0444444444444443</v>
      </c>
      <c r="O20" s="33">
        <f t="shared" si="8"/>
        <v>0.48999728603903647</v>
      </c>
      <c r="P20">
        <f t="shared" si="11"/>
        <v>2492</v>
      </c>
      <c r="Q20" s="33">
        <f t="shared" si="9"/>
        <v>13.692307692307692</v>
      </c>
      <c r="R20" s="39">
        <f t="shared" si="10"/>
        <v>1.9817668013134364</v>
      </c>
    </row>
    <row r="21" spans="6:18" x14ac:dyDescent="0.25">
      <c r="F21" s="35">
        <v>15</v>
      </c>
      <c r="G21" s="38">
        <f t="shared" si="0"/>
        <v>15</v>
      </c>
      <c r="H21" s="34">
        <f t="shared" si="1"/>
        <v>48270</v>
      </c>
      <c r="I21" s="34">
        <f t="shared" si="2"/>
        <v>48452</v>
      </c>
      <c r="J21">
        <f t="shared" si="3"/>
        <v>2730</v>
      </c>
      <c r="K21">
        <f t="shared" si="4"/>
        <v>182</v>
      </c>
      <c r="L21" s="33">
        <f t="shared" si="5"/>
        <v>4.0444444444444443</v>
      </c>
      <c r="M21">
        <f t="shared" si="6"/>
        <v>0</v>
      </c>
      <c r="N21" s="33">
        <f t="shared" si="7"/>
        <v>4.0444444444444443</v>
      </c>
      <c r="O21" s="33">
        <f t="shared" si="8"/>
        <v>0.46565540826921248</v>
      </c>
      <c r="P21">
        <f t="shared" si="11"/>
        <v>2674</v>
      </c>
      <c r="Q21" s="33">
        <f t="shared" si="9"/>
        <v>14.692307692307692</v>
      </c>
      <c r="R21" s="39">
        <f t="shared" si="10"/>
        <v>1.8833174289999259</v>
      </c>
    </row>
    <row r="22" spans="6:18" x14ac:dyDescent="0.25">
      <c r="F22" s="35">
        <v>16</v>
      </c>
      <c r="G22" s="38">
        <f t="shared" si="0"/>
        <v>16</v>
      </c>
      <c r="H22" s="34">
        <f t="shared" si="1"/>
        <v>48452</v>
      </c>
      <c r="I22" s="34">
        <f t="shared" si="2"/>
        <v>48634</v>
      </c>
      <c r="J22">
        <f t="shared" si="3"/>
        <v>2912</v>
      </c>
      <c r="K22">
        <f t="shared" si="4"/>
        <v>182</v>
      </c>
      <c r="L22" s="33">
        <f t="shared" si="5"/>
        <v>4.0444444444444443</v>
      </c>
      <c r="M22">
        <f t="shared" si="6"/>
        <v>0</v>
      </c>
      <c r="N22" s="33">
        <f t="shared" si="7"/>
        <v>4.0444444444444443</v>
      </c>
      <c r="O22" s="33">
        <f t="shared" si="8"/>
        <v>0.44252277599980905</v>
      </c>
      <c r="P22">
        <f t="shared" si="11"/>
        <v>2856</v>
      </c>
      <c r="Q22" s="33">
        <f t="shared" si="9"/>
        <v>15.692307692307692</v>
      </c>
      <c r="R22" s="39">
        <f t="shared" si="10"/>
        <v>1.789758782932561</v>
      </c>
    </row>
    <row r="23" spans="6:18" x14ac:dyDescent="0.25">
      <c r="F23" s="35">
        <v>17</v>
      </c>
      <c r="G23" s="38">
        <f t="shared" si="0"/>
        <v>17</v>
      </c>
      <c r="H23" s="34">
        <f t="shared" si="1"/>
        <v>48634</v>
      </c>
      <c r="I23" s="34">
        <f t="shared" si="2"/>
        <v>48816</v>
      </c>
      <c r="J23">
        <f t="shared" si="3"/>
        <v>3094</v>
      </c>
      <c r="K23">
        <f t="shared" si="4"/>
        <v>182</v>
      </c>
      <c r="L23" s="33">
        <f t="shared" si="5"/>
        <v>4.0444444444444443</v>
      </c>
      <c r="M23">
        <f t="shared" si="6"/>
        <v>0</v>
      </c>
      <c r="N23" s="33">
        <f t="shared" si="7"/>
        <v>4.0444444444444443</v>
      </c>
      <c r="O23" s="33">
        <f t="shared" si="8"/>
        <v>0.4205393168447058</v>
      </c>
      <c r="P23">
        <f t="shared" si="11"/>
        <v>3038</v>
      </c>
      <c r="Q23" s="33">
        <f t="shared" si="9"/>
        <v>16.692307692307693</v>
      </c>
      <c r="R23" s="39">
        <f t="shared" si="10"/>
        <v>1.7008479036830322</v>
      </c>
    </row>
    <row r="24" spans="6:18" x14ac:dyDescent="0.25">
      <c r="F24" s="35">
        <v>18</v>
      </c>
      <c r="G24" s="38">
        <f t="shared" si="0"/>
        <v>18</v>
      </c>
      <c r="H24" s="34">
        <f t="shared" si="1"/>
        <v>48816</v>
      </c>
      <c r="I24" s="34">
        <f t="shared" si="2"/>
        <v>48998</v>
      </c>
      <c r="J24">
        <f t="shared" si="3"/>
        <v>3276</v>
      </c>
      <c r="K24">
        <f t="shared" si="4"/>
        <v>182</v>
      </c>
      <c r="L24" s="33">
        <f t="shared" si="5"/>
        <v>4.0444444444444443</v>
      </c>
      <c r="M24">
        <f t="shared" si="6"/>
        <v>0</v>
      </c>
      <c r="N24" s="33">
        <f t="shared" si="7"/>
        <v>4.0444444444444443</v>
      </c>
      <c r="O24" s="33">
        <f t="shared" si="8"/>
        <v>0.39964794266835252</v>
      </c>
      <c r="P24">
        <f t="shared" si="11"/>
        <v>3220</v>
      </c>
      <c r="Q24" s="33">
        <f t="shared" si="9"/>
        <v>17.692307692307693</v>
      </c>
      <c r="R24" s="39">
        <f t="shared" si="10"/>
        <v>1.6163539014586701</v>
      </c>
    </row>
    <row r="25" spans="6:18" x14ac:dyDescent="0.25">
      <c r="F25" s="35">
        <v>19</v>
      </c>
      <c r="G25" s="38">
        <f t="shared" si="0"/>
        <v>19</v>
      </c>
      <c r="H25" s="34">
        <f t="shared" si="1"/>
        <v>48998</v>
      </c>
      <c r="I25" s="34">
        <f t="shared" si="2"/>
        <v>49180</v>
      </c>
      <c r="J25">
        <f t="shared" si="3"/>
        <v>3458</v>
      </c>
      <c r="K25">
        <f t="shared" si="4"/>
        <v>182</v>
      </c>
      <c r="L25" s="33">
        <f t="shared" si="5"/>
        <v>4.0444444444444443</v>
      </c>
      <c r="M25">
        <f t="shared" si="6"/>
        <v>0</v>
      </c>
      <c r="N25" s="33">
        <f t="shared" si="7"/>
        <v>4.0444444444444443</v>
      </c>
      <c r="O25" s="33">
        <f t="shared" si="8"/>
        <v>0.37979440133543246</v>
      </c>
      <c r="P25">
        <f t="shared" si="11"/>
        <v>3402</v>
      </c>
      <c r="Q25" s="33">
        <f t="shared" si="9"/>
        <v>18.692307692307693</v>
      </c>
      <c r="R25" s="39">
        <f t="shared" si="10"/>
        <v>1.5360573565121936</v>
      </c>
    </row>
    <row r="26" spans="6:18" x14ac:dyDescent="0.25">
      <c r="F26" s="35">
        <v>20</v>
      </c>
      <c r="G26" s="38">
        <f t="shared" si="0"/>
        <v>20</v>
      </c>
      <c r="H26" s="34">
        <f t="shared" si="1"/>
        <v>49180</v>
      </c>
      <c r="I26" s="34">
        <f t="shared" si="2"/>
        <v>49362</v>
      </c>
      <c r="J26">
        <f t="shared" si="3"/>
        <v>3640</v>
      </c>
      <c r="K26">
        <f t="shared" si="4"/>
        <v>182</v>
      </c>
      <c r="L26" s="33">
        <f t="shared" si="5"/>
        <v>4.0444444444444443</v>
      </c>
      <c r="M26">
        <f t="shared" si="6"/>
        <v>0</v>
      </c>
      <c r="N26" s="33">
        <f t="shared" si="7"/>
        <v>4.0444444444444443</v>
      </c>
      <c r="O26" s="33">
        <f t="shared" si="8"/>
        <v>0.36092713582524322</v>
      </c>
      <c r="P26">
        <f t="shared" si="11"/>
        <v>3584</v>
      </c>
      <c r="Q26" s="33">
        <f t="shared" si="9"/>
        <v>19.692307692307693</v>
      </c>
      <c r="R26" s="39">
        <f t="shared" si="10"/>
        <v>1.4597497493376503</v>
      </c>
    </row>
    <row r="27" spans="6:18" x14ac:dyDescent="0.25">
      <c r="F27" s="35">
        <v>21</v>
      </c>
      <c r="G27" s="38">
        <f t="shared" si="0"/>
        <v>21</v>
      </c>
      <c r="H27" s="34">
        <f t="shared" si="1"/>
        <v>49362</v>
      </c>
      <c r="I27" s="34">
        <f t="shared" si="2"/>
        <v>49544</v>
      </c>
      <c r="J27">
        <f t="shared" si="3"/>
        <v>3822</v>
      </c>
      <c r="K27">
        <f t="shared" si="4"/>
        <v>182</v>
      </c>
      <c r="L27" s="33">
        <f t="shared" si="5"/>
        <v>4.0444444444444443</v>
      </c>
      <c r="M27">
        <f t="shared" si="6"/>
        <v>0</v>
      </c>
      <c r="N27" s="33">
        <f t="shared" si="7"/>
        <v>4.0444444444444443</v>
      </c>
      <c r="O27" s="33">
        <f t="shared" si="8"/>
        <v>0.34299715034493417</v>
      </c>
      <c r="P27">
        <f t="shared" si="11"/>
        <v>3766</v>
      </c>
      <c r="Q27" s="33">
        <f t="shared" si="9"/>
        <v>20.692307692307693</v>
      </c>
      <c r="R27" s="39">
        <f t="shared" si="10"/>
        <v>1.3872329191728447</v>
      </c>
    </row>
    <row r="28" spans="6:18" x14ac:dyDescent="0.25">
      <c r="F28" s="35">
        <v>22</v>
      </c>
      <c r="G28" s="38">
        <f t="shared" si="0"/>
        <v>22</v>
      </c>
      <c r="H28" s="34">
        <f t="shared" si="1"/>
        <v>49544</v>
      </c>
      <c r="I28" s="34">
        <f t="shared" si="2"/>
        <v>49726</v>
      </c>
      <c r="J28">
        <f t="shared" si="3"/>
        <v>4004</v>
      </c>
      <c r="K28">
        <f t="shared" si="4"/>
        <v>182</v>
      </c>
      <c r="L28" s="33">
        <f t="shared" si="5"/>
        <v>4.0444444444444443</v>
      </c>
      <c r="M28">
        <f t="shared" si="6"/>
        <v>0</v>
      </c>
      <c r="N28" s="33">
        <f t="shared" si="7"/>
        <v>4.0444444444444443</v>
      </c>
      <c r="O28" s="33">
        <f t="shared" si="8"/>
        <v>0.32595788309391271</v>
      </c>
      <c r="P28">
        <f t="shared" si="11"/>
        <v>3948</v>
      </c>
      <c r="Q28" s="33">
        <f t="shared" si="9"/>
        <v>21.692307692307693</v>
      </c>
      <c r="R28" s="39">
        <f t="shared" si="10"/>
        <v>1.3183185494020468</v>
      </c>
    </row>
    <row r="29" spans="6:18" x14ac:dyDescent="0.25">
      <c r="F29" s="35">
        <v>23</v>
      </c>
      <c r="G29" s="38">
        <f t="shared" si="0"/>
        <v>23</v>
      </c>
      <c r="H29" s="34">
        <f t="shared" si="1"/>
        <v>49726</v>
      </c>
      <c r="I29" s="34">
        <f t="shared" si="2"/>
        <v>49908</v>
      </c>
      <c r="J29">
        <f t="shared" si="3"/>
        <v>4186</v>
      </c>
      <c r="K29">
        <f t="shared" si="4"/>
        <v>182</v>
      </c>
      <c r="L29" s="33">
        <f t="shared" si="5"/>
        <v>4.0444444444444443</v>
      </c>
      <c r="M29">
        <f t="shared" si="6"/>
        <v>0</v>
      </c>
      <c r="N29" s="33">
        <f t="shared" si="7"/>
        <v>4.0444444444444443</v>
      </c>
      <c r="O29" s="33">
        <f t="shared" si="8"/>
        <v>0.30976508534900749</v>
      </c>
      <c r="P29">
        <f t="shared" si="11"/>
        <v>4130</v>
      </c>
      <c r="Q29" s="33">
        <f t="shared" si="9"/>
        <v>22.692307692307693</v>
      </c>
      <c r="R29" s="39">
        <f t="shared" si="10"/>
        <v>1.2528276785226524</v>
      </c>
    </row>
    <row r="30" spans="6:18" x14ac:dyDescent="0.25">
      <c r="F30" s="35">
        <v>24</v>
      </c>
      <c r="G30" s="38">
        <f t="shared" si="0"/>
        <v>24</v>
      </c>
      <c r="H30" s="34">
        <f t="shared" si="1"/>
        <v>49908</v>
      </c>
      <c r="I30" s="34">
        <f t="shared" si="2"/>
        <v>50090</v>
      </c>
      <c r="J30">
        <f t="shared" si="3"/>
        <v>4368</v>
      </c>
      <c r="K30">
        <f t="shared" si="4"/>
        <v>182</v>
      </c>
      <c r="L30" s="33">
        <f t="shared" si="5"/>
        <v>4.0444444444444443</v>
      </c>
      <c r="M30">
        <f t="shared" si="6"/>
        <v>0</v>
      </c>
      <c r="N30" s="33">
        <f t="shared" si="7"/>
        <v>4.0444444444444443</v>
      </c>
      <c r="O30" s="33">
        <f t="shared" si="8"/>
        <v>0.29437670655638704</v>
      </c>
      <c r="P30">
        <f t="shared" si="11"/>
        <v>4312</v>
      </c>
      <c r="Q30" s="33">
        <f t="shared" si="9"/>
        <v>23.692307692307693</v>
      </c>
      <c r="R30" s="39">
        <f t="shared" si="10"/>
        <v>1.190590235405832</v>
      </c>
    </row>
    <row r="31" spans="6:18" x14ac:dyDescent="0.25">
      <c r="F31" s="35">
        <v>25</v>
      </c>
      <c r="G31" s="38">
        <f t="shared" si="0"/>
        <v>25</v>
      </c>
      <c r="H31" s="34">
        <f t="shared" si="1"/>
        <v>50090</v>
      </c>
      <c r="I31" s="34">
        <f t="shared" si="2"/>
        <v>50272</v>
      </c>
      <c r="J31">
        <f t="shared" si="3"/>
        <v>4550</v>
      </c>
      <c r="K31">
        <f t="shared" si="4"/>
        <v>182</v>
      </c>
      <c r="L31" s="33">
        <f t="shared" si="5"/>
        <v>4.0444444444444443</v>
      </c>
      <c r="M31">
        <f t="shared" si="6"/>
        <v>0</v>
      </c>
      <c r="N31" s="33">
        <f t="shared" si="7"/>
        <v>4.0444444444444443</v>
      </c>
      <c r="O31" s="33">
        <f t="shared" si="8"/>
        <v>0.27975278513183438</v>
      </c>
      <c r="P31">
        <f t="shared" si="11"/>
        <v>4494</v>
      </c>
      <c r="Q31" s="33">
        <f t="shared" si="9"/>
        <v>24.692307692307693</v>
      </c>
      <c r="R31" s="39">
        <f t="shared" si="10"/>
        <v>1.1314445976443079</v>
      </c>
    </row>
    <row r="32" spans="6:18" x14ac:dyDescent="0.25">
      <c r="F32" s="35">
        <v>26</v>
      </c>
      <c r="G32" s="38">
        <f t="shared" si="0"/>
        <v>26</v>
      </c>
      <c r="H32" s="34">
        <f t="shared" si="1"/>
        <v>50272</v>
      </c>
      <c r="I32" s="34">
        <f t="shared" si="2"/>
        <v>50454</v>
      </c>
      <c r="J32">
        <f t="shared" si="3"/>
        <v>4732</v>
      </c>
      <c r="K32">
        <f t="shared" si="4"/>
        <v>182</v>
      </c>
      <c r="L32" s="33">
        <f t="shared" si="5"/>
        <v>4.0444444444444443</v>
      </c>
      <c r="M32">
        <f t="shared" si="6"/>
        <v>0</v>
      </c>
      <c r="N32" s="33">
        <f t="shared" si="7"/>
        <v>4.0444444444444443</v>
      </c>
      <c r="O32" s="33">
        <f t="shared" si="8"/>
        <v>0.26585534468579797</v>
      </c>
      <c r="P32">
        <f t="shared" si="11"/>
        <v>4676</v>
      </c>
      <c r="Q32" s="33">
        <f t="shared" si="9"/>
        <v>25.692307692307693</v>
      </c>
      <c r="R32" s="39">
        <f t="shared" si="10"/>
        <v>1.0752371718403384</v>
      </c>
    </row>
    <row r="33" spans="6:18" x14ac:dyDescent="0.25">
      <c r="F33" s="35">
        <v>27</v>
      </c>
      <c r="G33" s="38">
        <f t="shared" si="0"/>
        <v>27</v>
      </c>
      <c r="H33" s="34">
        <f t="shared" si="1"/>
        <v>50454</v>
      </c>
      <c r="I33" s="34">
        <f t="shared" si="2"/>
        <v>50636</v>
      </c>
      <c r="J33">
        <f t="shared" si="3"/>
        <v>4914</v>
      </c>
      <c r="K33">
        <f t="shared" si="4"/>
        <v>182</v>
      </c>
      <c r="L33" s="33">
        <f t="shared" si="5"/>
        <v>4.0444444444444443</v>
      </c>
      <c r="M33">
        <f t="shared" si="6"/>
        <v>0</v>
      </c>
      <c r="N33" s="33">
        <f t="shared" si="7"/>
        <v>4.0444444444444443</v>
      </c>
      <c r="O33" s="33">
        <f t="shared" si="8"/>
        <v>0.25264829540373196</v>
      </c>
      <c r="P33">
        <f t="shared" si="11"/>
        <v>4858</v>
      </c>
      <c r="Q33" s="33">
        <f t="shared" si="9"/>
        <v>26.692307692307693</v>
      </c>
      <c r="R33" s="39">
        <f t="shared" si="10"/>
        <v>1.0218219947439826</v>
      </c>
    </row>
    <row r="34" spans="6:18" x14ac:dyDescent="0.25">
      <c r="F34" s="35">
        <v>28</v>
      </c>
      <c r="G34" s="38">
        <f t="shared" si="0"/>
        <v>28</v>
      </c>
      <c r="H34" s="34">
        <f t="shared" si="1"/>
        <v>50636</v>
      </c>
      <c r="I34" s="34">
        <f t="shared" si="2"/>
        <v>50818</v>
      </c>
      <c r="J34">
        <f t="shared" si="3"/>
        <v>5096</v>
      </c>
      <c r="K34">
        <f t="shared" si="4"/>
        <v>182</v>
      </c>
      <c r="L34" s="33">
        <f t="shared" si="5"/>
        <v>4.0444444444444443</v>
      </c>
      <c r="M34">
        <f t="shared" si="6"/>
        <v>0</v>
      </c>
      <c r="N34" s="33">
        <f t="shared" si="7"/>
        <v>4.0444444444444443</v>
      </c>
      <c r="O34" s="33">
        <f t="shared" si="8"/>
        <v>0.24009734032562136</v>
      </c>
      <c r="P34">
        <f t="shared" si="11"/>
        <v>5040</v>
      </c>
      <c r="Q34" s="33">
        <f t="shared" si="9"/>
        <v>27.692307692307693</v>
      </c>
      <c r="R34" s="39">
        <f t="shared" si="10"/>
        <v>0.97106035420584635</v>
      </c>
    </row>
    <row r="35" spans="6:18" x14ac:dyDescent="0.25">
      <c r="F35" s="35">
        <v>29</v>
      </c>
      <c r="G35" s="38">
        <f t="shared" si="0"/>
        <v>29</v>
      </c>
      <c r="H35" s="34">
        <f t="shared" si="1"/>
        <v>50818</v>
      </c>
      <c r="I35" s="34">
        <f t="shared" si="2"/>
        <v>51000</v>
      </c>
      <c r="J35">
        <f t="shared" si="3"/>
        <v>5278</v>
      </c>
      <c r="K35">
        <f t="shared" si="4"/>
        <v>182</v>
      </c>
      <c r="L35" s="33">
        <f t="shared" si="5"/>
        <v>4.0444444444444443</v>
      </c>
      <c r="M35">
        <f t="shared" si="6"/>
        <v>0</v>
      </c>
      <c r="N35" s="33">
        <f t="shared" si="7"/>
        <v>4.0444444444444443</v>
      </c>
      <c r="O35" s="33">
        <f t="shared" si="8"/>
        <v>0.22816988628131357</v>
      </c>
      <c r="P35">
        <f t="shared" si="11"/>
        <v>5222</v>
      </c>
      <c r="Q35" s="33">
        <f t="shared" si="9"/>
        <v>28.692307692307693</v>
      </c>
      <c r="R35" s="39">
        <f t="shared" si="10"/>
        <v>0.92282042895997929</v>
      </c>
    </row>
    <row r="36" spans="6:18" x14ac:dyDescent="0.25">
      <c r="F36" s="35">
        <v>30</v>
      </c>
      <c r="G36" s="38">
        <f t="shared" si="0"/>
        <v>30</v>
      </c>
      <c r="H36" s="34">
        <f t="shared" si="1"/>
        <v>51000</v>
      </c>
      <c r="I36" s="34">
        <f t="shared" si="2"/>
        <v>51182</v>
      </c>
      <c r="J36">
        <f t="shared" si="3"/>
        <v>5460</v>
      </c>
      <c r="K36">
        <f t="shared" si="4"/>
        <v>182</v>
      </c>
      <c r="L36" s="33">
        <f t="shared" si="5"/>
        <v>4.0444444444444443</v>
      </c>
      <c r="M36">
        <f t="shared" si="6"/>
        <v>0</v>
      </c>
      <c r="N36" s="33">
        <f t="shared" si="7"/>
        <v>4.0444444444444443</v>
      </c>
      <c r="O36" s="33">
        <f t="shared" si="8"/>
        <v>0.21683495925036689</v>
      </c>
      <c r="P36">
        <f t="shared" si="11"/>
        <v>5404</v>
      </c>
      <c r="Q36" s="33">
        <f t="shared" si="9"/>
        <v>29.692307692307693</v>
      </c>
      <c r="R36" s="39">
        <f t="shared" si="10"/>
        <v>0.87697694630148382</v>
      </c>
    </row>
    <row r="37" spans="6:18" x14ac:dyDescent="0.25">
      <c r="F37" s="35">
        <v>31</v>
      </c>
      <c r="G37" s="38">
        <f t="shared" si="0"/>
        <v>31</v>
      </c>
      <c r="H37" s="34">
        <f t="shared" si="1"/>
        <v>51182</v>
      </c>
      <c r="I37" s="34">
        <f t="shared" si="2"/>
        <v>51364</v>
      </c>
      <c r="J37">
        <f t="shared" si="3"/>
        <v>5642</v>
      </c>
      <c r="K37">
        <f t="shared" si="4"/>
        <v>182</v>
      </c>
      <c r="L37" s="33">
        <f t="shared" si="5"/>
        <v>4.0444444444444443</v>
      </c>
      <c r="M37">
        <f t="shared" si="6"/>
        <v>0</v>
      </c>
      <c r="N37" s="33">
        <f t="shared" si="7"/>
        <v>4.0444444444444443</v>
      </c>
      <c r="O37" s="33">
        <f t="shared" si="8"/>
        <v>0.20606312392661635</v>
      </c>
      <c r="P37">
        <f t="shared" si="11"/>
        <v>5586</v>
      </c>
      <c r="Q37" s="33">
        <f t="shared" si="9"/>
        <v>30.692307692307693</v>
      </c>
      <c r="R37" s="39">
        <f t="shared" si="10"/>
        <v>0.83341085676987059</v>
      </c>
    </row>
    <row r="38" spans="6:18" x14ac:dyDescent="0.25">
      <c r="F38" s="35">
        <v>32</v>
      </c>
      <c r="G38" s="38">
        <f t="shared" si="0"/>
        <v>32</v>
      </c>
      <c r="H38" s="34">
        <f t="shared" si="1"/>
        <v>51364</v>
      </c>
      <c r="I38" s="34">
        <f t="shared" si="2"/>
        <v>51546</v>
      </c>
      <c r="J38">
        <f t="shared" si="3"/>
        <v>5824</v>
      </c>
      <c r="K38">
        <f t="shared" si="4"/>
        <v>182</v>
      </c>
      <c r="L38" s="33">
        <f t="shared" si="5"/>
        <v>4.0444444444444443</v>
      </c>
      <c r="M38">
        <f t="shared" si="6"/>
        <v>0</v>
      </c>
      <c r="N38" s="33">
        <f t="shared" si="7"/>
        <v>4.0444444444444443</v>
      </c>
      <c r="O38" s="33">
        <f t="shared" si="8"/>
        <v>0.1958264072785772</v>
      </c>
      <c r="P38">
        <f t="shared" si="11"/>
        <v>5768</v>
      </c>
      <c r="Q38" s="33">
        <f t="shared" si="9"/>
        <v>31.692307692307693</v>
      </c>
      <c r="R38" s="39">
        <f t="shared" si="10"/>
        <v>0.79200902499335668</v>
      </c>
    </row>
    <row r="39" spans="6:18" x14ac:dyDescent="0.25">
      <c r="F39" s="35">
        <v>33</v>
      </c>
      <c r="G39" s="38">
        <f t="shared" si="0"/>
        <v>33</v>
      </c>
      <c r="H39" s="34">
        <f t="shared" si="1"/>
        <v>51546</v>
      </c>
      <c r="I39" s="34">
        <f t="shared" si="2"/>
        <v>51728</v>
      </c>
      <c r="J39">
        <f t="shared" si="3"/>
        <v>6006</v>
      </c>
      <c r="K39">
        <f t="shared" si="4"/>
        <v>182</v>
      </c>
      <c r="L39" s="33">
        <f t="shared" si="5"/>
        <v>4.0444444444444443</v>
      </c>
      <c r="M39">
        <f t="shared" si="6"/>
        <v>0</v>
      </c>
      <c r="N39" s="33">
        <f t="shared" si="7"/>
        <v>4.0444444444444443</v>
      </c>
      <c r="O39" s="33">
        <f t="shared" si="8"/>
        <v>0.1860982259071825</v>
      </c>
      <c r="P39">
        <f t="shared" si="11"/>
        <v>5950</v>
      </c>
      <c r="Q39" s="33">
        <f t="shared" si="9"/>
        <v>32.692307692307693</v>
      </c>
      <c r="R39" s="39">
        <f t="shared" si="10"/>
        <v>0.75266393589127145</v>
      </c>
    </row>
    <row r="40" spans="6:18" x14ac:dyDescent="0.25">
      <c r="F40" s="35">
        <v>34</v>
      </c>
      <c r="G40" s="38">
        <f t="shared" si="0"/>
        <v>34</v>
      </c>
      <c r="H40" s="34">
        <f t="shared" si="1"/>
        <v>51728</v>
      </c>
      <c r="I40" s="34">
        <f t="shared" si="2"/>
        <v>51910</v>
      </c>
      <c r="J40">
        <f t="shared" si="3"/>
        <v>6188</v>
      </c>
      <c r="K40">
        <f t="shared" si="4"/>
        <v>182</v>
      </c>
      <c r="L40" s="33">
        <f t="shared" si="5"/>
        <v>4.0444444444444443</v>
      </c>
      <c r="M40">
        <f t="shared" si="6"/>
        <v>0</v>
      </c>
      <c r="N40" s="33">
        <f t="shared" si="7"/>
        <v>4.0444444444444443</v>
      </c>
      <c r="O40" s="33">
        <f t="shared" si="8"/>
        <v>0.17685331701221191</v>
      </c>
      <c r="P40">
        <f t="shared" si="11"/>
        <v>6132</v>
      </c>
      <c r="Q40" s="33">
        <f t="shared" si="9"/>
        <v>33.692307692307693</v>
      </c>
      <c r="R40" s="39">
        <f t="shared" si="10"/>
        <v>0.71527341547161261</v>
      </c>
    </row>
    <row r="41" spans="6:18" x14ac:dyDescent="0.25">
      <c r="F41" s="35">
        <v>35</v>
      </c>
      <c r="G41" s="38">
        <f t="shared" si="0"/>
        <v>35</v>
      </c>
      <c r="H41" s="34">
        <f t="shared" si="1"/>
        <v>51910</v>
      </c>
      <c r="I41" s="34">
        <f t="shared" si="2"/>
        <v>52092</v>
      </c>
      <c r="J41">
        <f t="shared" si="3"/>
        <v>6370</v>
      </c>
      <c r="K41">
        <f t="shared" si="4"/>
        <v>182</v>
      </c>
      <c r="L41" s="33">
        <f t="shared" si="5"/>
        <v>4.0444444444444443</v>
      </c>
      <c r="M41">
        <f t="shared" si="6"/>
        <v>0</v>
      </c>
      <c r="N41" s="33">
        <f t="shared" si="7"/>
        <v>4.0444444444444443</v>
      </c>
      <c r="O41" s="33">
        <f t="shared" si="8"/>
        <v>0.16806767278814114</v>
      </c>
      <c r="P41">
        <f t="shared" si="11"/>
        <v>6314</v>
      </c>
      <c r="Q41" s="33">
        <f t="shared" si="9"/>
        <v>34.692307692307693</v>
      </c>
      <c r="R41" s="39">
        <f t="shared" si="10"/>
        <v>0.67974036549870409</v>
      </c>
    </row>
    <row r="42" spans="6:18" x14ac:dyDescent="0.25">
      <c r="F42" s="35">
        <v>36</v>
      </c>
      <c r="G42" s="38">
        <f t="shared" si="0"/>
        <v>36</v>
      </c>
      <c r="H42" s="34">
        <f t="shared" si="1"/>
        <v>52092</v>
      </c>
      <c r="I42" s="34">
        <f t="shared" si="2"/>
        <v>52274</v>
      </c>
      <c r="J42">
        <f t="shared" si="3"/>
        <v>6552</v>
      </c>
      <c r="K42">
        <f t="shared" si="4"/>
        <v>182</v>
      </c>
      <c r="L42" s="33">
        <f t="shared" si="5"/>
        <v>4.0444444444444443</v>
      </c>
      <c r="M42">
        <f t="shared" si="6"/>
        <v>0</v>
      </c>
      <c r="N42" s="33">
        <f t="shared" si="7"/>
        <v>4.0444444444444443</v>
      </c>
      <c r="O42" s="33">
        <f t="shared" si="8"/>
        <v>0.15971847807904679</v>
      </c>
      <c r="P42">
        <f t="shared" si="11"/>
        <v>6496</v>
      </c>
      <c r="Q42" s="33">
        <f t="shared" si="9"/>
        <v>35.692307692307693</v>
      </c>
      <c r="R42" s="39">
        <f t="shared" si="10"/>
        <v>0.64597251134192257</v>
      </c>
    </row>
    <row r="43" spans="6:18" x14ac:dyDescent="0.25">
      <c r="F43" s="35">
        <v>37</v>
      </c>
      <c r="G43" s="38">
        <f t="shared" si="0"/>
        <v>37</v>
      </c>
      <c r="H43" s="34">
        <f t="shared" si="1"/>
        <v>52274</v>
      </c>
      <c r="I43" s="34">
        <f t="shared" si="2"/>
        <v>52456</v>
      </c>
      <c r="J43">
        <f t="shared" si="3"/>
        <v>6734</v>
      </c>
      <c r="K43">
        <f t="shared" si="4"/>
        <v>182</v>
      </c>
      <c r="L43" s="33">
        <f t="shared" si="5"/>
        <v>4.0444444444444443</v>
      </c>
      <c r="M43">
        <f t="shared" si="6"/>
        <v>0</v>
      </c>
      <c r="N43" s="33">
        <f t="shared" si="7"/>
        <v>4.0444444444444443</v>
      </c>
      <c r="O43" s="33">
        <f t="shared" si="8"/>
        <v>0.15178405113066412</v>
      </c>
      <c r="P43">
        <f t="shared" si="11"/>
        <v>6678</v>
      </c>
      <c r="Q43" s="33">
        <f t="shared" si="9"/>
        <v>36.692307692307693</v>
      </c>
      <c r="R43" s="39">
        <f t="shared" si="10"/>
        <v>0.61388216235068593</v>
      </c>
    </row>
    <row r="44" spans="6:18" x14ac:dyDescent="0.25">
      <c r="F44" s="35">
        <v>38</v>
      </c>
      <c r="G44" s="38">
        <f t="shared" si="0"/>
        <v>38</v>
      </c>
      <c r="H44" s="34">
        <f t="shared" si="1"/>
        <v>52456</v>
      </c>
      <c r="I44" s="34">
        <f t="shared" si="2"/>
        <v>52638</v>
      </c>
      <c r="J44">
        <f t="shared" si="3"/>
        <v>6916</v>
      </c>
      <c r="K44">
        <f t="shared" si="4"/>
        <v>182</v>
      </c>
      <c r="L44" s="33">
        <f t="shared" si="5"/>
        <v>4.0444444444444443</v>
      </c>
      <c r="M44">
        <f t="shared" si="6"/>
        <v>0</v>
      </c>
      <c r="N44" s="33">
        <f t="shared" si="7"/>
        <v>4.0444444444444443</v>
      </c>
      <c r="O44" s="33">
        <f t="shared" si="8"/>
        <v>0.14424378728573947</v>
      </c>
      <c r="P44">
        <f t="shared" si="11"/>
        <v>6860</v>
      </c>
      <c r="Q44" s="33">
        <f t="shared" si="9"/>
        <v>37.692307692307693</v>
      </c>
      <c r="R44" s="39">
        <f t="shared" si="10"/>
        <v>0.58338598413343512</v>
      </c>
    </row>
    <row r="45" spans="6:18" x14ac:dyDescent="0.25">
      <c r="F45" s="35">
        <v>39</v>
      </c>
      <c r="G45" s="38">
        <f t="shared" si="0"/>
        <v>39</v>
      </c>
      <c r="H45" s="34">
        <f t="shared" si="1"/>
        <v>52638</v>
      </c>
      <c r="I45" s="34">
        <f t="shared" si="2"/>
        <v>52820</v>
      </c>
      <c r="J45">
        <f t="shared" si="3"/>
        <v>7098</v>
      </c>
      <c r="K45">
        <f t="shared" si="4"/>
        <v>182</v>
      </c>
      <c r="L45" s="33">
        <f t="shared" si="5"/>
        <v>4.0444444444444443</v>
      </c>
      <c r="M45">
        <f t="shared" si="6"/>
        <v>0</v>
      </c>
      <c r="N45" s="33">
        <f t="shared" si="7"/>
        <v>4.0444444444444443</v>
      </c>
      <c r="O45" s="33">
        <f t="shared" si="8"/>
        <v>0.13707810547646054</v>
      </c>
      <c r="P45">
        <f t="shared" si="11"/>
        <v>7042</v>
      </c>
      <c r="Q45" s="33">
        <f t="shared" si="9"/>
        <v>38.692307692307693</v>
      </c>
      <c r="R45" s="39">
        <f t="shared" si="10"/>
        <v>0.55440478214924038</v>
      </c>
    </row>
    <row r="46" spans="6:18" x14ac:dyDescent="0.25">
      <c r="F46" s="35">
        <v>40</v>
      </c>
      <c r="G46" s="38">
        <f t="shared" si="0"/>
        <v>40</v>
      </c>
      <c r="H46" s="34">
        <f t="shared" si="1"/>
        <v>52820</v>
      </c>
      <c r="I46" s="34">
        <f t="shared" si="2"/>
        <v>53002</v>
      </c>
      <c r="J46">
        <f t="shared" si="3"/>
        <v>7280</v>
      </c>
      <c r="K46">
        <f t="shared" si="4"/>
        <v>182</v>
      </c>
      <c r="L46" s="33">
        <f t="shared" si="5"/>
        <v>4.0444444444444443</v>
      </c>
      <c r="M46">
        <f t="shared" si="6"/>
        <v>0</v>
      </c>
      <c r="N46" s="33">
        <f t="shared" si="7"/>
        <v>4.0444444444444443</v>
      </c>
      <c r="O46" s="33">
        <f t="shared" si="8"/>
        <v>0.13026839737501358</v>
      </c>
      <c r="P46">
        <f t="shared" si="11"/>
        <v>7224</v>
      </c>
      <c r="Q46" s="33">
        <f t="shared" si="9"/>
        <v>39.692307692307693</v>
      </c>
      <c r="R46" s="39">
        <f t="shared" si="10"/>
        <v>0.52686329605005489</v>
      </c>
    </row>
    <row r="47" spans="6:18" x14ac:dyDescent="0.25">
      <c r="F47" s="35">
        <v>41</v>
      </c>
      <c r="G47" s="38">
        <f t="shared" si="0"/>
        <v>41</v>
      </c>
      <c r="H47" s="34">
        <f t="shared" si="1"/>
        <v>53002</v>
      </c>
      <c r="I47" s="34">
        <f t="shared" si="2"/>
        <v>53184</v>
      </c>
      <c r="J47">
        <f t="shared" si="3"/>
        <v>7462</v>
      </c>
      <c r="K47">
        <f t="shared" si="4"/>
        <v>182</v>
      </c>
      <c r="L47" s="33">
        <f t="shared" si="5"/>
        <v>4.0444444444444443</v>
      </c>
      <c r="M47">
        <f t="shared" si="6"/>
        <v>0</v>
      </c>
      <c r="N47" s="33">
        <f t="shared" si="7"/>
        <v>4.0444444444444443</v>
      </c>
      <c r="O47" s="33">
        <f t="shared" si="8"/>
        <v>0.12379697907021744</v>
      </c>
      <c r="P47">
        <f t="shared" si="11"/>
        <v>7406</v>
      </c>
      <c r="Q47" s="33">
        <f t="shared" si="9"/>
        <v>40.692307692307693</v>
      </c>
      <c r="R47" s="39">
        <f t="shared" si="10"/>
        <v>0.50069000423954613</v>
      </c>
    </row>
    <row r="48" spans="6:18" x14ac:dyDescent="0.25">
      <c r="F48" s="35">
        <v>42</v>
      </c>
      <c r="G48" s="38">
        <f t="shared" si="0"/>
        <v>42</v>
      </c>
      <c r="H48" s="34">
        <f t="shared" si="1"/>
        <v>53184</v>
      </c>
      <c r="I48" s="34">
        <f t="shared" si="2"/>
        <v>53366</v>
      </c>
      <c r="J48">
        <f t="shared" si="3"/>
        <v>7644</v>
      </c>
      <c r="K48">
        <f t="shared" si="4"/>
        <v>182</v>
      </c>
      <c r="L48" s="33">
        <f t="shared" si="5"/>
        <v>4.0444444444444443</v>
      </c>
      <c r="M48">
        <f t="shared" si="6"/>
        <v>0</v>
      </c>
      <c r="N48" s="33">
        <f t="shared" si="7"/>
        <v>4.0444444444444443</v>
      </c>
      <c r="O48" s="33">
        <f t="shared" si="8"/>
        <v>0.11764704514474539</v>
      </c>
      <c r="P48">
        <f t="shared" si="11"/>
        <v>7588</v>
      </c>
      <c r="Q48" s="33">
        <f t="shared" si="9"/>
        <v>41.692307692307693</v>
      </c>
      <c r="R48" s="39">
        <f t="shared" si="10"/>
        <v>0.4758169381409702</v>
      </c>
    </row>
    <row r="49" spans="6:18" x14ac:dyDescent="0.25">
      <c r="F49" s="35">
        <v>43</v>
      </c>
      <c r="G49" s="38">
        <f t="shared" si="0"/>
        <v>43</v>
      </c>
      <c r="H49" s="34">
        <f t="shared" si="1"/>
        <v>53366</v>
      </c>
      <c r="I49" s="34">
        <f t="shared" si="2"/>
        <v>53548</v>
      </c>
      <c r="J49">
        <f t="shared" si="3"/>
        <v>7826</v>
      </c>
      <c r="K49">
        <f t="shared" si="4"/>
        <v>182</v>
      </c>
      <c r="L49" s="33">
        <f t="shared" si="5"/>
        <v>4.0444444444444443</v>
      </c>
      <c r="M49">
        <f t="shared" si="6"/>
        <v>0</v>
      </c>
      <c r="N49" s="33">
        <f t="shared" si="7"/>
        <v>4.0444444444444443</v>
      </c>
      <c r="O49" s="33">
        <f t="shared" si="8"/>
        <v>0.11180262503367927</v>
      </c>
      <c r="P49">
        <f t="shared" si="11"/>
        <v>7770</v>
      </c>
      <c r="Q49" s="33">
        <f t="shared" si="9"/>
        <v>42.692307692307693</v>
      </c>
      <c r="R49" s="39">
        <f t="shared" si="10"/>
        <v>0.45217950569176946</v>
      </c>
    </row>
    <row r="50" spans="6:18" x14ac:dyDescent="0.25">
      <c r="F50" s="35">
        <v>44</v>
      </c>
      <c r="G50" s="38">
        <f t="shared" si="0"/>
        <v>44</v>
      </c>
      <c r="H50" s="34">
        <f t="shared" si="1"/>
        <v>53548</v>
      </c>
      <c r="I50" s="34">
        <f t="shared" si="2"/>
        <v>53730</v>
      </c>
      <c r="J50">
        <f t="shared" si="3"/>
        <v>8008</v>
      </c>
      <c r="K50">
        <f t="shared" si="4"/>
        <v>182</v>
      </c>
      <c r="L50" s="33">
        <f t="shared" si="5"/>
        <v>4.0444444444444443</v>
      </c>
      <c r="M50">
        <f t="shared" si="6"/>
        <v>0</v>
      </c>
      <c r="N50" s="33">
        <f t="shared" si="7"/>
        <v>4.0444444444444443</v>
      </c>
      <c r="O50" s="33">
        <f t="shared" si="8"/>
        <v>0.10624854155106488</v>
      </c>
      <c r="P50">
        <f t="shared" si="11"/>
        <v>7952</v>
      </c>
      <c r="Q50" s="33">
        <f t="shared" si="9"/>
        <v>43.692307692307693</v>
      </c>
      <c r="R50" s="39">
        <f t="shared" si="10"/>
        <v>0.42971632360652906</v>
      </c>
    </row>
    <row r="51" spans="6:18" x14ac:dyDescent="0.25">
      <c r="F51" s="35">
        <v>45</v>
      </c>
      <c r="G51" s="38">
        <f t="shared" si="0"/>
        <v>45</v>
      </c>
      <c r="H51" s="34">
        <f t="shared" si="1"/>
        <v>53730</v>
      </c>
      <c r="I51" s="34">
        <f t="shared" si="2"/>
        <v>53912</v>
      </c>
      <c r="J51">
        <f t="shared" si="3"/>
        <v>8190</v>
      </c>
      <c r="K51">
        <f t="shared" si="4"/>
        <v>182</v>
      </c>
      <c r="L51" s="33">
        <f t="shared" si="5"/>
        <v>4.0444444444444443</v>
      </c>
      <c r="M51">
        <f t="shared" si="6"/>
        <v>0</v>
      </c>
      <c r="N51" s="33">
        <f t="shared" si="7"/>
        <v>4.0444444444444443</v>
      </c>
      <c r="O51" s="33">
        <f t="shared" si="8"/>
        <v>0.10097037147676764</v>
      </c>
      <c r="P51">
        <f t="shared" si="11"/>
        <v>8134</v>
      </c>
      <c r="Q51" s="33">
        <f t="shared" si="9"/>
        <v>44.692307692307693</v>
      </c>
      <c r="R51" s="39">
        <f t="shared" si="10"/>
        <v>0.40836905797270467</v>
      </c>
    </row>
    <row r="52" spans="6:18" x14ac:dyDescent="0.25">
      <c r="F52" s="35">
        <v>46</v>
      </c>
      <c r="G52" s="38">
        <f t="shared" si="0"/>
        <v>46</v>
      </c>
      <c r="H52" s="34">
        <f t="shared" si="1"/>
        <v>53912</v>
      </c>
      <c r="I52" s="34">
        <f t="shared" si="2"/>
        <v>54094</v>
      </c>
      <c r="J52">
        <f t="shared" si="3"/>
        <v>8372</v>
      </c>
      <c r="K52">
        <f t="shared" si="4"/>
        <v>182</v>
      </c>
      <c r="L52" s="33">
        <f t="shared" si="5"/>
        <v>4.0444444444444443</v>
      </c>
      <c r="M52">
        <f t="shared" si="6"/>
        <v>0</v>
      </c>
      <c r="N52" s="33">
        <f t="shared" si="7"/>
        <v>4.0444444444444443</v>
      </c>
      <c r="O52" s="33">
        <f t="shared" si="8"/>
        <v>9.5954408101277852E-2</v>
      </c>
      <c r="P52">
        <f t="shared" si="11"/>
        <v>8316</v>
      </c>
      <c r="Q52" s="33">
        <f t="shared" si="9"/>
        <v>45.692307692307693</v>
      </c>
      <c r="R52" s="39">
        <f t="shared" si="10"/>
        <v>0.38808227276516821</v>
      </c>
    </row>
    <row r="53" spans="6:18" x14ac:dyDescent="0.25">
      <c r="F53" s="35">
        <v>47</v>
      </c>
      <c r="G53" s="38">
        <f t="shared" si="0"/>
        <v>47</v>
      </c>
      <c r="H53" s="34">
        <f t="shared" si="1"/>
        <v>54094</v>
      </c>
      <c r="I53" s="34">
        <f t="shared" si="2"/>
        <v>54276</v>
      </c>
      <c r="J53">
        <f t="shared" si="3"/>
        <v>8554</v>
      </c>
      <c r="K53">
        <f t="shared" si="4"/>
        <v>182</v>
      </c>
      <c r="L53" s="33">
        <f t="shared" si="5"/>
        <v>4.0444444444444443</v>
      </c>
      <c r="M53">
        <f t="shared" si="6"/>
        <v>0</v>
      </c>
      <c r="N53" s="33">
        <f t="shared" si="7"/>
        <v>4.0444444444444443</v>
      </c>
      <c r="O53" s="33">
        <f t="shared" si="8"/>
        <v>9.1187625631198935E-2</v>
      </c>
      <c r="P53">
        <f t="shared" si="11"/>
        <v>8498</v>
      </c>
      <c r="Q53" s="33">
        <f t="shared" si="9"/>
        <v>46.692307692307693</v>
      </c>
      <c r="R53" s="39">
        <f t="shared" si="10"/>
        <v>0.36880328588618233</v>
      </c>
    </row>
    <row r="54" spans="6:18" x14ac:dyDescent="0.25">
      <c r="F54" s="35">
        <v>48</v>
      </c>
      <c r="G54" s="38">
        <f t="shared" si="0"/>
        <v>48</v>
      </c>
      <c r="H54" s="34">
        <f t="shared" si="1"/>
        <v>54276</v>
      </c>
      <c r="I54" s="34">
        <f t="shared" si="2"/>
        <v>54458</v>
      </c>
      <c r="J54">
        <f t="shared" si="3"/>
        <v>8736</v>
      </c>
      <c r="K54">
        <f t="shared" si="4"/>
        <v>182</v>
      </c>
      <c r="L54" s="33">
        <f t="shared" si="5"/>
        <v>4.0444444444444443</v>
      </c>
      <c r="M54">
        <f t="shared" si="6"/>
        <v>0</v>
      </c>
      <c r="N54" s="33">
        <f t="shared" si="7"/>
        <v>4.0444444444444443</v>
      </c>
      <c r="O54" s="33">
        <f t="shared" si="8"/>
        <v>8.6657645362985189E-2</v>
      </c>
      <c r="P54">
        <f t="shared" si="11"/>
        <v>8680</v>
      </c>
      <c r="Q54" s="33">
        <f t="shared" si="9"/>
        <v>47.692307692307693</v>
      </c>
      <c r="R54" s="39">
        <f t="shared" si="10"/>
        <v>0.35048203235696229</v>
      </c>
    </row>
    <row r="55" spans="6:18" x14ac:dyDescent="0.25">
      <c r="F55" s="35">
        <v>49</v>
      </c>
      <c r="G55" s="38">
        <f t="shared" si="0"/>
        <v>49</v>
      </c>
      <c r="H55" s="34">
        <f t="shared" si="1"/>
        <v>54458</v>
      </c>
      <c r="I55" s="34">
        <f t="shared" si="2"/>
        <v>54640</v>
      </c>
      <c r="J55">
        <f t="shared" si="3"/>
        <v>8918</v>
      </c>
      <c r="K55">
        <f t="shared" si="4"/>
        <v>182</v>
      </c>
      <c r="L55" s="33">
        <f t="shared" si="5"/>
        <v>4.0444444444444443</v>
      </c>
      <c r="M55">
        <f t="shared" si="6"/>
        <v>0</v>
      </c>
      <c r="N55" s="33">
        <f t="shared" si="7"/>
        <v>4.0444444444444443</v>
      </c>
      <c r="O55" s="33">
        <f t="shared" si="8"/>
        <v>8.2352703537085986E-2</v>
      </c>
      <c r="P55">
        <f t="shared" si="11"/>
        <v>8862</v>
      </c>
      <c r="Q55" s="33">
        <f t="shared" si="9"/>
        <v>48.692307692307693</v>
      </c>
      <c r="R55" s="39">
        <f t="shared" si="10"/>
        <v>0.33307093430554774</v>
      </c>
    </row>
    <row r="56" spans="6:18" x14ac:dyDescent="0.25">
      <c r="F56" s="35">
        <v>50</v>
      </c>
      <c r="G56" s="38">
        <f t="shared" si="0"/>
        <v>50</v>
      </c>
      <c r="H56" s="34">
        <f t="shared" si="1"/>
        <v>54640</v>
      </c>
      <c r="I56" s="34">
        <f t="shared" si="2"/>
        <v>54822</v>
      </c>
      <c r="J56">
        <f t="shared" si="3"/>
        <v>9100</v>
      </c>
      <c r="K56">
        <f t="shared" si="4"/>
        <v>182</v>
      </c>
      <c r="L56" s="33">
        <f t="shared" si="5"/>
        <v>4.0444444444444443</v>
      </c>
      <c r="M56">
        <f t="shared" si="6"/>
        <v>0</v>
      </c>
      <c r="N56" s="33">
        <f t="shared" si="7"/>
        <v>4.0444444444444443</v>
      </c>
      <c r="O56" s="33">
        <f t="shared" si="8"/>
        <v>7.8261620789018271E-2</v>
      </c>
      <c r="P56">
        <f t="shared" si="11"/>
        <v>9044</v>
      </c>
      <c r="Q56" s="33">
        <f t="shared" si="9"/>
        <v>49.692307692307693</v>
      </c>
      <c r="R56" s="39">
        <f t="shared" si="10"/>
        <v>0.31652477741336277</v>
      </c>
    </row>
    <row r="57" spans="6:18" x14ac:dyDescent="0.25">
      <c r="F57" s="35">
        <v>51</v>
      </c>
      <c r="G57" s="38">
        <f t="shared" si="0"/>
        <v>51</v>
      </c>
      <c r="H57" s="34">
        <f t="shared" si="1"/>
        <v>54822</v>
      </c>
      <c r="I57" s="34">
        <f t="shared" si="2"/>
        <v>55004</v>
      </c>
      <c r="J57">
        <f t="shared" si="3"/>
        <v>9282</v>
      </c>
      <c r="K57">
        <f t="shared" si="4"/>
        <v>182</v>
      </c>
      <c r="L57" s="33">
        <f t="shared" si="5"/>
        <v>4.0444444444444443</v>
      </c>
      <c r="M57">
        <f t="shared" si="6"/>
        <v>0</v>
      </c>
      <c r="N57" s="33">
        <f t="shared" si="7"/>
        <v>4.0444444444444443</v>
      </c>
      <c r="O57" s="33">
        <f t="shared" si="8"/>
        <v>7.4373773118035794E-2</v>
      </c>
      <c r="P57">
        <f t="shared" si="11"/>
        <v>9226</v>
      </c>
      <c r="Q57" s="33">
        <f t="shared" si="9"/>
        <v>50.692307692307693</v>
      </c>
      <c r="R57" s="39">
        <f t="shared" si="10"/>
        <v>0.30080059349961141</v>
      </c>
    </row>
    <row r="58" spans="6:18" x14ac:dyDescent="0.25">
      <c r="F58" s="35">
        <v>52</v>
      </c>
      <c r="G58" s="38">
        <f t="shared" si="0"/>
        <v>52</v>
      </c>
      <c r="H58" s="34">
        <f t="shared" si="1"/>
        <v>55004</v>
      </c>
      <c r="I58" s="34">
        <f t="shared" si="2"/>
        <v>55186</v>
      </c>
      <c r="J58">
        <f t="shared" si="3"/>
        <v>9464</v>
      </c>
      <c r="K58">
        <f t="shared" si="4"/>
        <v>182</v>
      </c>
      <c r="L58" s="33">
        <f t="shared" si="5"/>
        <v>4.0444444444444443</v>
      </c>
      <c r="M58">
        <f t="shared" si="6"/>
        <v>0</v>
      </c>
      <c r="N58" s="33">
        <f t="shared" si="7"/>
        <v>4.0444444444444443</v>
      </c>
      <c r="O58" s="33">
        <f t="shared" si="8"/>
        <v>7.0679064298004426E-2</v>
      </c>
      <c r="P58">
        <f t="shared" si="11"/>
        <v>9408</v>
      </c>
      <c r="Q58" s="33">
        <f t="shared" si="9"/>
        <v>51.692307692307693</v>
      </c>
      <c r="R58" s="39">
        <f t="shared" si="10"/>
        <v>0.28585754893859566</v>
      </c>
    </row>
    <row r="59" spans="6:18" x14ac:dyDescent="0.25">
      <c r="F59" s="35">
        <v>53</v>
      </c>
      <c r="G59" s="38">
        <f t="shared" si="0"/>
        <v>53</v>
      </c>
      <c r="H59" s="34">
        <f t="shared" si="1"/>
        <v>55186</v>
      </c>
      <c r="I59" s="34">
        <f t="shared" si="2"/>
        <v>55368</v>
      </c>
      <c r="J59">
        <f t="shared" si="3"/>
        <v>9646</v>
      </c>
      <c r="K59">
        <f t="shared" si="4"/>
        <v>182</v>
      </c>
      <c r="L59" s="33">
        <f t="shared" si="5"/>
        <v>4.0444444444444443</v>
      </c>
      <c r="M59">
        <f t="shared" si="6"/>
        <v>0</v>
      </c>
      <c r="N59" s="33">
        <f t="shared" si="7"/>
        <v>4.0444444444444443</v>
      </c>
      <c r="O59" s="33">
        <f t="shared" si="8"/>
        <v>6.7167899658838445E-2</v>
      </c>
      <c r="P59">
        <f t="shared" si="11"/>
        <v>9590</v>
      </c>
      <c r="Q59" s="33">
        <f t="shared" si="9"/>
        <v>52.692307692307693</v>
      </c>
      <c r="R59" s="39">
        <f t="shared" si="10"/>
        <v>0.27165683862019102</v>
      </c>
    </row>
    <row r="60" spans="6:18" x14ac:dyDescent="0.25">
      <c r="F60" s="35">
        <v>54</v>
      </c>
      <c r="G60" s="38">
        <f t="shared" si="0"/>
        <v>54</v>
      </c>
      <c r="H60" s="34">
        <f t="shared" si="1"/>
        <v>55368</v>
      </c>
      <c r="I60" s="34">
        <f t="shared" si="2"/>
        <v>55550</v>
      </c>
      <c r="J60">
        <f t="shared" si="3"/>
        <v>9828</v>
      </c>
      <c r="K60">
        <f t="shared" si="4"/>
        <v>182</v>
      </c>
      <c r="L60" s="33">
        <f t="shared" si="5"/>
        <v>4.0444444444444443</v>
      </c>
      <c r="M60">
        <f t="shared" si="6"/>
        <v>0</v>
      </c>
      <c r="N60" s="33">
        <f t="shared" si="7"/>
        <v>4.0444444444444443</v>
      </c>
      <c r="O60" s="33">
        <f t="shared" si="8"/>
        <v>6.3831161170411391E-2</v>
      </c>
      <c r="P60">
        <f t="shared" si="11"/>
        <v>9772</v>
      </c>
      <c r="Q60" s="33">
        <f t="shared" si="9"/>
        <v>53.692307692307693</v>
      </c>
      <c r="R60" s="39">
        <f t="shared" si="10"/>
        <v>0.25816158517810828</v>
      </c>
    </row>
    <row r="61" spans="6:18" x14ac:dyDescent="0.25">
      <c r="F61" s="35">
        <v>55</v>
      </c>
      <c r="G61" s="38">
        <f t="shared" si="0"/>
        <v>55</v>
      </c>
      <c r="H61" s="34">
        <f t="shared" si="1"/>
        <v>55550</v>
      </c>
      <c r="I61" s="34">
        <f t="shared" si="2"/>
        <v>55732</v>
      </c>
      <c r="J61">
        <f t="shared" si="3"/>
        <v>10010</v>
      </c>
      <c r="K61">
        <f t="shared" si="4"/>
        <v>182</v>
      </c>
      <c r="L61" s="33">
        <f t="shared" si="5"/>
        <v>4.0444444444444443</v>
      </c>
      <c r="M61">
        <f t="shared" si="6"/>
        <v>0</v>
      </c>
      <c r="N61" s="33">
        <f t="shared" si="7"/>
        <v>4.0444444444444443</v>
      </c>
      <c r="O61" s="33">
        <f t="shared" si="8"/>
        <v>6.0660183764237957E-2</v>
      </c>
      <c r="P61">
        <f t="shared" si="11"/>
        <v>9954</v>
      </c>
      <c r="Q61" s="33">
        <f t="shared" si="9"/>
        <v>54.692307692307693</v>
      </c>
      <c r="R61" s="39">
        <f t="shared" si="10"/>
        <v>0.24533674322425128</v>
      </c>
    </row>
    <row r="62" spans="6:18" x14ac:dyDescent="0.25">
      <c r="F62" s="35">
        <v>56</v>
      </c>
      <c r="G62" s="38">
        <f t="shared" si="0"/>
        <v>56</v>
      </c>
      <c r="H62" s="34">
        <f t="shared" si="1"/>
        <v>55732</v>
      </c>
      <c r="I62" s="34">
        <f t="shared" si="2"/>
        <v>55914</v>
      </c>
      <c r="J62">
        <f t="shared" si="3"/>
        <v>10192</v>
      </c>
      <c r="K62">
        <f t="shared" si="4"/>
        <v>182</v>
      </c>
      <c r="L62" s="33">
        <f t="shared" si="5"/>
        <v>4.0444444444444443</v>
      </c>
      <c r="M62">
        <f t="shared" si="6"/>
        <v>0</v>
      </c>
      <c r="N62" s="33">
        <f t="shared" si="7"/>
        <v>4.0444444444444443</v>
      </c>
      <c r="O62" s="33">
        <f t="shared" si="8"/>
        <v>5.7646732831437252E-2</v>
      </c>
      <c r="P62">
        <f t="shared" si="11"/>
        <v>10136</v>
      </c>
      <c r="Q62" s="33">
        <f t="shared" si="9"/>
        <v>55.692307692307693</v>
      </c>
      <c r="R62" s="39">
        <f t="shared" si="10"/>
        <v>0.23314900834047955</v>
      </c>
    </row>
    <row r="63" spans="6:18" x14ac:dyDescent="0.25">
      <c r="F63" s="35">
        <v>57</v>
      </c>
      <c r="G63" s="38">
        <f t="shared" si="0"/>
        <v>57</v>
      </c>
      <c r="H63" s="34">
        <f t="shared" si="1"/>
        <v>55914</v>
      </c>
      <c r="I63" s="34">
        <f t="shared" si="2"/>
        <v>56096</v>
      </c>
      <c r="J63">
        <f t="shared" si="3"/>
        <v>10374</v>
      </c>
      <c r="K63">
        <f t="shared" si="4"/>
        <v>182</v>
      </c>
      <c r="L63" s="33">
        <f t="shared" si="5"/>
        <v>4.0444444444444443</v>
      </c>
      <c r="M63">
        <f t="shared" si="6"/>
        <v>0</v>
      </c>
      <c r="N63" s="33">
        <f t="shared" si="7"/>
        <v>4.0444444444444443</v>
      </c>
      <c r="O63" s="33">
        <f t="shared" si="8"/>
        <v>5.4782982838542889E-2</v>
      </c>
      <c r="P63">
        <f t="shared" si="11"/>
        <v>10318</v>
      </c>
      <c r="Q63" s="33">
        <f t="shared" si="9"/>
        <v>56.692307692307693</v>
      </c>
      <c r="R63" s="39">
        <f t="shared" si="10"/>
        <v>0.22156673059144011</v>
      </c>
    </row>
    <row r="64" spans="6:18" x14ac:dyDescent="0.25">
      <c r="F64" s="35">
        <v>58</v>
      </c>
      <c r="G64" s="38">
        <f t="shared" si="0"/>
        <v>58</v>
      </c>
      <c r="H64" s="34">
        <f>IF(G64="","",I63)</f>
        <v>56096</v>
      </c>
      <c r="I64" s="34">
        <f t="shared" si="2"/>
        <v>56278</v>
      </c>
      <c r="J64">
        <f t="shared" si="3"/>
        <v>10556</v>
      </c>
      <c r="K64">
        <f t="shared" si="4"/>
        <v>182</v>
      </c>
      <c r="L64" s="33">
        <f t="shared" si="5"/>
        <v>4.0444444444444443</v>
      </c>
      <c r="M64">
        <f t="shared" si="6"/>
        <v>100</v>
      </c>
      <c r="N64" s="33">
        <f t="shared" si="7"/>
        <v>104.04444444444445</v>
      </c>
      <c r="O64" s="33">
        <f t="shared" si="8"/>
        <v>5.2061497005627594E-2</v>
      </c>
      <c r="P64">
        <f t="shared" si="11"/>
        <v>10500</v>
      </c>
      <c r="Q64" s="33">
        <f t="shared" si="9"/>
        <v>57.692307692307693</v>
      </c>
      <c r="R64" s="39">
        <f t="shared" si="10"/>
        <v>5.4167095328966317</v>
      </c>
    </row>
    <row r="65" spans="6:18" x14ac:dyDescent="0.25">
      <c r="F65" s="35">
        <v>59</v>
      </c>
      <c r="G65" s="38" t="str">
        <f t="shared" si="0"/>
        <v/>
      </c>
      <c r="H65" s="34" t="str">
        <f t="shared" si="1"/>
        <v/>
      </c>
      <c r="I65" s="34" t="str">
        <f t="shared" si="2"/>
        <v/>
      </c>
      <c r="J65" t="str">
        <f t="shared" si="3"/>
        <v/>
      </c>
      <c r="K65" t="str">
        <f t="shared" si="4"/>
        <v/>
      </c>
      <c r="L65" s="33" t="str">
        <f t="shared" si="5"/>
        <v/>
      </c>
      <c r="M65" t="str">
        <f t="shared" si="6"/>
        <v/>
      </c>
      <c r="N65" s="33" t="str">
        <f t="shared" si="7"/>
        <v/>
      </c>
      <c r="O65" s="33" t="str">
        <f t="shared" si="8"/>
        <v/>
      </c>
      <c r="P65" t="str">
        <f t="shared" si="11"/>
        <v/>
      </c>
      <c r="Q65" s="33" t="str">
        <f t="shared" si="9"/>
        <v/>
      </c>
      <c r="R65" s="39" t="str">
        <f t="shared" si="10"/>
        <v/>
      </c>
    </row>
    <row r="66" spans="6:18" x14ac:dyDescent="0.25">
      <c r="F66" s="35">
        <v>60</v>
      </c>
      <c r="J66" t="str">
        <f t="shared" si="3"/>
        <v/>
      </c>
      <c r="K66" t="str">
        <f t="shared" si="4"/>
        <v/>
      </c>
      <c r="L66" s="33" t="str">
        <f t="shared" si="5"/>
        <v/>
      </c>
      <c r="M66" t="str">
        <f t="shared" si="6"/>
        <v/>
      </c>
      <c r="N66" s="33" t="str">
        <f t="shared" si="7"/>
        <v/>
      </c>
      <c r="O66" s="33" t="str">
        <f t="shared" si="8"/>
        <v/>
      </c>
      <c r="P66" t="str">
        <f t="shared" si="11"/>
        <v/>
      </c>
      <c r="Q66" s="33" t="str">
        <f t="shared" si="9"/>
        <v/>
      </c>
      <c r="R66" s="39" t="str">
        <f t="shared" si="10"/>
        <v/>
      </c>
    </row>
    <row r="67" spans="6:18" x14ac:dyDescent="0.25">
      <c r="F67" s="35">
        <v>61</v>
      </c>
      <c r="J67" t="str">
        <f t="shared" si="3"/>
        <v/>
      </c>
      <c r="K67" t="str">
        <f t="shared" si="4"/>
        <v/>
      </c>
      <c r="L67" s="33" t="str">
        <f t="shared" si="5"/>
        <v/>
      </c>
      <c r="M67" t="str">
        <f t="shared" si="6"/>
        <v/>
      </c>
      <c r="N67" s="33" t="str">
        <f t="shared" si="7"/>
        <v/>
      </c>
      <c r="O67" s="33" t="str">
        <f t="shared" si="8"/>
        <v/>
      </c>
      <c r="P67" t="str">
        <f t="shared" si="11"/>
        <v/>
      </c>
      <c r="Q67" s="33" t="str">
        <f t="shared" si="9"/>
        <v/>
      </c>
      <c r="R67" s="39" t="str">
        <f t="shared" si="10"/>
        <v/>
      </c>
    </row>
    <row r="68" spans="6:18" x14ac:dyDescent="0.25">
      <c r="F68" s="35">
        <v>62</v>
      </c>
      <c r="J68" t="str">
        <f t="shared" si="3"/>
        <v/>
      </c>
      <c r="K68" t="str">
        <f t="shared" si="4"/>
        <v/>
      </c>
      <c r="L68" s="33" t="str">
        <f t="shared" si="5"/>
        <v/>
      </c>
      <c r="M68" t="str">
        <f t="shared" si="6"/>
        <v/>
      </c>
      <c r="N68" s="33" t="str">
        <f t="shared" si="7"/>
        <v/>
      </c>
      <c r="O68" s="33" t="str">
        <f t="shared" si="8"/>
        <v/>
      </c>
      <c r="P68" t="str">
        <f t="shared" si="11"/>
        <v/>
      </c>
      <c r="Q68" s="33" t="str">
        <f t="shared" si="9"/>
        <v/>
      </c>
      <c r="R68" s="39" t="str">
        <f t="shared" si="10"/>
        <v/>
      </c>
    </row>
    <row r="69" spans="6:18" x14ac:dyDescent="0.25">
      <c r="F69" s="35">
        <v>63</v>
      </c>
      <c r="J69" t="str">
        <f t="shared" si="3"/>
        <v/>
      </c>
      <c r="K69" t="str">
        <f t="shared" si="4"/>
        <v/>
      </c>
      <c r="L69" s="33" t="str">
        <f t="shared" si="5"/>
        <v/>
      </c>
      <c r="M69" t="str">
        <f t="shared" si="6"/>
        <v/>
      </c>
      <c r="N69" s="33" t="str">
        <f t="shared" si="7"/>
        <v/>
      </c>
      <c r="O69" s="33" t="str">
        <f t="shared" si="8"/>
        <v/>
      </c>
      <c r="P69" t="str">
        <f t="shared" si="11"/>
        <v/>
      </c>
      <c r="Q69" s="33" t="str">
        <f t="shared" si="9"/>
        <v/>
      </c>
      <c r="R69" s="39" t="str">
        <f t="shared" si="10"/>
        <v/>
      </c>
    </row>
    <row r="70" spans="6:18" x14ac:dyDescent="0.25">
      <c r="F70" s="35">
        <v>64</v>
      </c>
      <c r="J70" t="str">
        <f t="shared" si="3"/>
        <v/>
      </c>
      <c r="K70" t="str">
        <f t="shared" si="4"/>
        <v/>
      </c>
      <c r="L70" s="33" t="str">
        <f t="shared" si="5"/>
        <v/>
      </c>
      <c r="M70" t="str">
        <f t="shared" si="6"/>
        <v/>
      </c>
      <c r="N70" s="33" t="str">
        <f t="shared" si="7"/>
        <v/>
      </c>
      <c r="O70" s="33" t="str">
        <f t="shared" si="8"/>
        <v/>
      </c>
      <c r="P70" t="str">
        <f t="shared" si="11"/>
        <v/>
      </c>
      <c r="Q70" s="33" t="str">
        <f t="shared" si="9"/>
        <v/>
      </c>
      <c r="R70" s="39" t="str">
        <f t="shared" si="10"/>
        <v/>
      </c>
    </row>
    <row r="71" spans="6:18" x14ac:dyDescent="0.25">
      <c r="F71" s="35">
        <v>65</v>
      </c>
      <c r="J71" t="str">
        <f t="shared" si="3"/>
        <v/>
      </c>
      <c r="K71" t="str">
        <f t="shared" si="4"/>
        <v/>
      </c>
      <c r="L71" s="33" t="str">
        <f t="shared" si="5"/>
        <v/>
      </c>
      <c r="M71" t="str">
        <f t="shared" si="6"/>
        <v/>
      </c>
      <c r="N71" s="33" t="str">
        <f t="shared" si="7"/>
        <v/>
      </c>
      <c r="O71" s="33" t="str">
        <f t="shared" si="8"/>
        <v/>
      </c>
      <c r="P71" t="str">
        <f t="shared" si="11"/>
        <v/>
      </c>
      <c r="Q71" s="33" t="str">
        <f t="shared" si="9"/>
        <v/>
      </c>
      <c r="R71" s="39" t="str">
        <f t="shared" si="10"/>
        <v/>
      </c>
    </row>
    <row r="72" spans="6:18" x14ac:dyDescent="0.25">
      <c r="F72" s="35">
        <v>66</v>
      </c>
      <c r="J72" t="str">
        <f t="shared" ref="J72:J91" si="12">IF(G72="","",H72-$H$6)</f>
        <v/>
      </c>
      <c r="K72" t="str">
        <f t="shared" ref="K72:K91" si="13">IF(G72="","",H72-H71)</f>
        <v/>
      </c>
      <c r="L72" s="33" t="str">
        <f t="shared" ref="L72:L135" si="14">IF(G72="","",$C$4*$C$6*$C$7/360)</f>
        <v/>
      </c>
      <c r="M72" t="str">
        <f t="shared" ref="M72:M135" si="15">IF(G72="","",IF(H72=$G$2,100,0))</f>
        <v/>
      </c>
      <c r="N72" s="33" t="str">
        <f t="shared" ref="N72:N135" si="16">IF(G72="","",L72+M72)</f>
        <v/>
      </c>
      <c r="O72" s="33" t="str">
        <f t="shared" ref="O72:O135" si="17">IF(G72="","",1/(1+$C$5*K72/360)^(J72/K72))</f>
        <v/>
      </c>
      <c r="P72" t="str">
        <f t="shared" ref="P72:P135" si="18">IF(G72="","",H72-$C$12)</f>
        <v/>
      </c>
      <c r="Q72" s="33" t="str">
        <f t="shared" ref="Q72:Q135" si="19">IF(G72="","",(P72/K72))</f>
        <v/>
      </c>
      <c r="R72" s="39" t="str">
        <f t="shared" ref="R72:R135" si="20">IF(G72="","",N72*O72)</f>
        <v/>
      </c>
    </row>
    <row r="73" spans="6:18" x14ac:dyDescent="0.25">
      <c r="F73" s="35">
        <v>67</v>
      </c>
      <c r="J73" t="str">
        <f t="shared" si="12"/>
        <v/>
      </c>
      <c r="K73" t="str">
        <f t="shared" si="13"/>
        <v/>
      </c>
      <c r="L73" s="33" t="str">
        <f t="shared" si="14"/>
        <v/>
      </c>
      <c r="M73" t="str">
        <f t="shared" si="15"/>
        <v/>
      </c>
      <c r="N73" s="33" t="str">
        <f t="shared" si="16"/>
        <v/>
      </c>
      <c r="O73" s="33" t="str">
        <f t="shared" si="17"/>
        <v/>
      </c>
      <c r="P73" t="str">
        <f t="shared" si="18"/>
        <v/>
      </c>
      <c r="Q73" s="33" t="str">
        <f t="shared" si="19"/>
        <v/>
      </c>
      <c r="R73" s="39" t="str">
        <f t="shared" si="20"/>
        <v/>
      </c>
    </row>
    <row r="74" spans="6:18" x14ac:dyDescent="0.25">
      <c r="F74" s="35">
        <v>68</v>
      </c>
      <c r="J74" t="str">
        <f t="shared" si="12"/>
        <v/>
      </c>
      <c r="K74" t="str">
        <f t="shared" si="13"/>
        <v/>
      </c>
      <c r="L74" s="33" t="str">
        <f t="shared" si="14"/>
        <v/>
      </c>
      <c r="M74" t="str">
        <f t="shared" si="15"/>
        <v/>
      </c>
      <c r="N74" s="33" t="str">
        <f t="shared" si="16"/>
        <v/>
      </c>
      <c r="O74" s="33" t="str">
        <f t="shared" si="17"/>
        <v/>
      </c>
      <c r="P74" t="str">
        <f t="shared" si="18"/>
        <v/>
      </c>
      <c r="Q74" s="33" t="str">
        <f t="shared" si="19"/>
        <v/>
      </c>
      <c r="R74" s="39" t="str">
        <f t="shared" si="20"/>
        <v/>
      </c>
    </row>
    <row r="75" spans="6:18" x14ac:dyDescent="0.25">
      <c r="F75" s="35">
        <v>69</v>
      </c>
      <c r="J75" t="str">
        <f t="shared" si="12"/>
        <v/>
      </c>
      <c r="K75" t="str">
        <f t="shared" si="13"/>
        <v/>
      </c>
      <c r="L75" s="33" t="str">
        <f t="shared" si="14"/>
        <v/>
      </c>
      <c r="M75" t="str">
        <f t="shared" si="15"/>
        <v/>
      </c>
      <c r="N75" s="33" t="str">
        <f t="shared" si="16"/>
        <v/>
      </c>
      <c r="O75" s="33" t="str">
        <f t="shared" si="17"/>
        <v/>
      </c>
      <c r="P75" t="str">
        <f t="shared" si="18"/>
        <v/>
      </c>
      <c r="Q75" s="33" t="str">
        <f t="shared" si="19"/>
        <v/>
      </c>
      <c r="R75" s="39" t="str">
        <f t="shared" si="20"/>
        <v/>
      </c>
    </row>
    <row r="76" spans="6:18" x14ac:dyDescent="0.25">
      <c r="F76" s="35">
        <v>70</v>
      </c>
      <c r="J76" t="str">
        <f t="shared" si="12"/>
        <v/>
      </c>
      <c r="K76" t="str">
        <f t="shared" si="13"/>
        <v/>
      </c>
      <c r="L76" s="33" t="str">
        <f t="shared" si="14"/>
        <v/>
      </c>
      <c r="M76" t="str">
        <f t="shared" si="15"/>
        <v/>
      </c>
      <c r="N76" s="33" t="str">
        <f t="shared" si="16"/>
        <v/>
      </c>
      <c r="O76" s="33" t="str">
        <f t="shared" si="17"/>
        <v/>
      </c>
      <c r="P76" t="str">
        <f t="shared" si="18"/>
        <v/>
      </c>
      <c r="Q76" s="33" t="str">
        <f t="shared" si="19"/>
        <v/>
      </c>
      <c r="R76" s="39" t="str">
        <f t="shared" si="20"/>
        <v/>
      </c>
    </row>
    <row r="77" spans="6:18" x14ac:dyDescent="0.25">
      <c r="F77" s="35">
        <v>71</v>
      </c>
      <c r="J77" t="str">
        <f t="shared" si="12"/>
        <v/>
      </c>
      <c r="K77" t="str">
        <f t="shared" si="13"/>
        <v/>
      </c>
      <c r="L77" s="33" t="str">
        <f t="shared" si="14"/>
        <v/>
      </c>
      <c r="M77" t="str">
        <f t="shared" si="15"/>
        <v/>
      </c>
      <c r="N77" s="33" t="str">
        <f t="shared" si="16"/>
        <v/>
      </c>
      <c r="O77" s="33" t="str">
        <f t="shared" si="17"/>
        <v/>
      </c>
      <c r="P77" t="str">
        <f t="shared" si="18"/>
        <v/>
      </c>
      <c r="Q77" s="33" t="str">
        <f t="shared" si="19"/>
        <v/>
      </c>
      <c r="R77" s="39" t="str">
        <f t="shared" si="20"/>
        <v/>
      </c>
    </row>
    <row r="78" spans="6:18" x14ac:dyDescent="0.25">
      <c r="F78" s="35">
        <v>72</v>
      </c>
      <c r="J78" t="str">
        <f t="shared" si="12"/>
        <v/>
      </c>
      <c r="K78" t="str">
        <f t="shared" si="13"/>
        <v/>
      </c>
      <c r="L78" s="33" t="str">
        <f t="shared" si="14"/>
        <v/>
      </c>
      <c r="M78" t="str">
        <f t="shared" si="15"/>
        <v/>
      </c>
      <c r="N78" s="33" t="str">
        <f t="shared" si="16"/>
        <v/>
      </c>
      <c r="O78" s="33" t="str">
        <f t="shared" si="17"/>
        <v/>
      </c>
      <c r="P78" t="str">
        <f t="shared" si="18"/>
        <v/>
      </c>
      <c r="Q78" s="33" t="str">
        <f t="shared" si="19"/>
        <v/>
      </c>
      <c r="R78" s="39" t="str">
        <f t="shared" si="20"/>
        <v/>
      </c>
    </row>
    <row r="79" spans="6:18" x14ac:dyDescent="0.25">
      <c r="F79" s="35">
        <v>73</v>
      </c>
      <c r="J79" t="str">
        <f t="shared" si="12"/>
        <v/>
      </c>
      <c r="K79" t="str">
        <f t="shared" si="13"/>
        <v/>
      </c>
      <c r="L79" s="33" t="str">
        <f t="shared" si="14"/>
        <v/>
      </c>
      <c r="M79" t="str">
        <f t="shared" si="15"/>
        <v/>
      </c>
      <c r="N79" s="33" t="str">
        <f t="shared" si="16"/>
        <v/>
      </c>
      <c r="O79" s="33" t="str">
        <f t="shared" si="17"/>
        <v/>
      </c>
      <c r="P79" t="str">
        <f t="shared" si="18"/>
        <v/>
      </c>
      <c r="Q79" s="33" t="str">
        <f t="shared" si="19"/>
        <v/>
      </c>
      <c r="R79" s="39" t="str">
        <f t="shared" si="20"/>
        <v/>
      </c>
    </row>
    <row r="80" spans="6:18" x14ac:dyDescent="0.25">
      <c r="F80" s="35">
        <v>74</v>
      </c>
      <c r="J80" t="str">
        <f t="shared" si="12"/>
        <v/>
      </c>
      <c r="K80" t="str">
        <f t="shared" si="13"/>
        <v/>
      </c>
      <c r="L80" s="33" t="str">
        <f t="shared" si="14"/>
        <v/>
      </c>
      <c r="M80" t="str">
        <f t="shared" si="15"/>
        <v/>
      </c>
      <c r="N80" s="33" t="str">
        <f t="shared" si="16"/>
        <v/>
      </c>
      <c r="O80" s="33" t="str">
        <f t="shared" si="17"/>
        <v/>
      </c>
      <c r="P80" t="str">
        <f t="shared" si="18"/>
        <v/>
      </c>
      <c r="Q80" s="33" t="str">
        <f t="shared" si="19"/>
        <v/>
      </c>
      <c r="R80" s="39" t="str">
        <f t="shared" si="20"/>
        <v/>
      </c>
    </row>
    <row r="81" spans="6:18" x14ac:dyDescent="0.25">
      <c r="F81" s="35">
        <v>75</v>
      </c>
      <c r="J81" t="str">
        <f t="shared" si="12"/>
        <v/>
      </c>
      <c r="K81" t="str">
        <f t="shared" si="13"/>
        <v/>
      </c>
      <c r="L81" s="33" t="str">
        <f t="shared" si="14"/>
        <v/>
      </c>
      <c r="M81" t="str">
        <f t="shared" si="15"/>
        <v/>
      </c>
      <c r="N81" s="33" t="str">
        <f t="shared" si="16"/>
        <v/>
      </c>
      <c r="O81" s="33" t="str">
        <f t="shared" si="17"/>
        <v/>
      </c>
      <c r="P81" t="str">
        <f t="shared" si="18"/>
        <v/>
      </c>
      <c r="Q81" s="33" t="str">
        <f t="shared" si="19"/>
        <v/>
      </c>
      <c r="R81" s="39" t="str">
        <f t="shared" si="20"/>
        <v/>
      </c>
    </row>
    <row r="82" spans="6:18" x14ac:dyDescent="0.25">
      <c r="F82" s="35">
        <v>76</v>
      </c>
      <c r="J82" t="str">
        <f t="shared" si="12"/>
        <v/>
      </c>
      <c r="K82" t="str">
        <f t="shared" si="13"/>
        <v/>
      </c>
      <c r="L82" s="33" t="str">
        <f t="shared" si="14"/>
        <v/>
      </c>
      <c r="M82" t="str">
        <f t="shared" si="15"/>
        <v/>
      </c>
      <c r="N82" s="33" t="str">
        <f t="shared" si="16"/>
        <v/>
      </c>
      <c r="O82" s="33" t="str">
        <f t="shared" si="17"/>
        <v/>
      </c>
      <c r="P82" t="str">
        <f t="shared" si="18"/>
        <v/>
      </c>
      <c r="Q82" s="33" t="str">
        <f t="shared" si="19"/>
        <v/>
      </c>
      <c r="R82" s="39" t="str">
        <f t="shared" si="20"/>
        <v/>
      </c>
    </row>
    <row r="83" spans="6:18" x14ac:dyDescent="0.25">
      <c r="F83" s="35">
        <v>77</v>
      </c>
      <c r="J83" t="str">
        <f t="shared" si="12"/>
        <v/>
      </c>
      <c r="K83" t="str">
        <f t="shared" si="13"/>
        <v/>
      </c>
      <c r="L83" s="33" t="str">
        <f t="shared" si="14"/>
        <v/>
      </c>
      <c r="M83" t="str">
        <f t="shared" si="15"/>
        <v/>
      </c>
      <c r="N83" s="33" t="str">
        <f t="shared" si="16"/>
        <v/>
      </c>
      <c r="O83" s="33" t="str">
        <f t="shared" si="17"/>
        <v/>
      </c>
      <c r="P83" t="str">
        <f t="shared" si="18"/>
        <v/>
      </c>
      <c r="Q83" s="33" t="str">
        <f t="shared" si="19"/>
        <v/>
      </c>
      <c r="R83" s="39" t="str">
        <f t="shared" si="20"/>
        <v/>
      </c>
    </row>
    <row r="84" spans="6:18" x14ac:dyDescent="0.25">
      <c r="F84" s="35">
        <v>78</v>
      </c>
      <c r="J84" t="str">
        <f t="shared" si="12"/>
        <v/>
      </c>
      <c r="K84" t="str">
        <f t="shared" si="13"/>
        <v/>
      </c>
      <c r="L84" s="33" t="str">
        <f t="shared" si="14"/>
        <v/>
      </c>
      <c r="M84" t="str">
        <f t="shared" si="15"/>
        <v/>
      </c>
      <c r="N84" s="33" t="str">
        <f t="shared" si="16"/>
        <v/>
      </c>
      <c r="O84" s="33" t="str">
        <f t="shared" si="17"/>
        <v/>
      </c>
      <c r="P84" t="str">
        <f t="shared" si="18"/>
        <v/>
      </c>
      <c r="Q84" s="33" t="str">
        <f t="shared" si="19"/>
        <v/>
      </c>
      <c r="R84" s="39" t="str">
        <f t="shared" si="20"/>
        <v/>
      </c>
    </row>
    <row r="85" spans="6:18" x14ac:dyDescent="0.25">
      <c r="F85" s="35">
        <v>79</v>
      </c>
      <c r="J85" t="str">
        <f t="shared" si="12"/>
        <v/>
      </c>
      <c r="K85" t="str">
        <f t="shared" si="13"/>
        <v/>
      </c>
      <c r="L85" s="33" t="str">
        <f t="shared" si="14"/>
        <v/>
      </c>
      <c r="M85" t="str">
        <f t="shared" si="15"/>
        <v/>
      </c>
      <c r="N85" s="33" t="str">
        <f t="shared" si="16"/>
        <v/>
      </c>
      <c r="O85" s="33" t="str">
        <f t="shared" si="17"/>
        <v/>
      </c>
      <c r="P85" t="str">
        <f t="shared" si="18"/>
        <v/>
      </c>
      <c r="Q85" s="33" t="str">
        <f t="shared" si="19"/>
        <v/>
      </c>
      <c r="R85" s="39" t="str">
        <f t="shared" si="20"/>
        <v/>
      </c>
    </row>
    <row r="86" spans="6:18" x14ac:dyDescent="0.25">
      <c r="F86" s="35">
        <v>80</v>
      </c>
      <c r="J86" t="str">
        <f t="shared" si="12"/>
        <v/>
      </c>
      <c r="K86" t="str">
        <f t="shared" si="13"/>
        <v/>
      </c>
      <c r="L86" s="33" t="str">
        <f t="shared" si="14"/>
        <v/>
      </c>
      <c r="M86" t="str">
        <f t="shared" si="15"/>
        <v/>
      </c>
      <c r="N86" s="33" t="str">
        <f t="shared" si="16"/>
        <v/>
      </c>
      <c r="O86" s="33" t="str">
        <f t="shared" si="17"/>
        <v/>
      </c>
      <c r="P86" t="str">
        <f t="shared" si="18"/>
        <v/>
      </c>
      <c r="Q86" s="33" t="str">
        <f t="shared" si="19"/>
        <v/>
      </c>
      <c r="R86" s="39" t="str">
        <f t="shared" si="20"/>
        <v/>
      </c>
    </row>
    <row r="87" spans="6:18" x14ac:dyDescent="0.25">
      <c r="F87" s="35">
        <v>81</v>
      </c>
      <c r="J87" t="str">
        <f t="shared" si="12"/>
        <v/>
      </c>
      <c r="K87" t="str">
        <f t="shared" si="13"/>
        <v/>
      </c>
      <c r="L87" s="33" t="str">
        <f t="shared" si="14"/>
        <v/>
      </c>
      <c r="M87" t="str">
        <f t="shared" si="15"/>
        <v/>
      </c>
      <c r="N87" s="33" t="str">
        <f t="shared" si="16"/>
        <v/>
      </c>
      <c r="O87" s="33" t="str">
        <f t="shared" si="17"/>
        <v/>
      </c>
      <c r="P87" t="str">
        <f t="shared" si="18"/>
        <v/>
      </c>
      <c r="Q87" s="33" t="str">
        <f t="shared" si="19"/>
        <v/>
      </c>
      <c r="R87" s="39" t="str">
        <f t="shared" si="20"/>
        <v/>
      </c>
    </row>
    <row r="88" spans="6:18" x14ac:dyDescent="0.25">
      <c r="F88" s="35">
        <v>82</v>
      </c>
      <c r="J88" t="str">
        <f t="shared" si="12"/>
        <v/>
      </c>
      <c r="K88" t="str">
        <f t="shared" si="13"/>
        <v/>
      </c>
      <c r="L88" s="33" t="str">
        <f t="shared" si="14"/>
        <v/>
      </c>
      <c r="M88" t="str">
        <f t="shared" si="15"/>
        <v/>
      </c>
      <c r="N88" s="33" t="str">
        <f t="shared" si="16"/>
        <v/>
      </c>
      <c r="O88" s="33" t="str">
        <f t="shared" si="17"/>
        <v/>
      </c>
      <c r="P88" t="str">
        <f t="shared" si="18"/>
        <v/>
      </c>
      <c r="Q88" s="33" t="str">
        <f t="shared" si="19"/>
        <v/>
      </c>
      <c r="R88" s="39" t="str">
        <f t="shared" si="20"/>
        <v/>
      </c>
    </row>
    <row r="89" spans="6:18" x14ac:dyDescent="0.25">
      <c r="F89" s="35">
        <v>83</v>
      </c>
      <c r="J89" t="str">
        <f t="shared" si="12"/>
        <v/>
      </c>
      <c r="K89" t="str">
        <f t="shared" si="13"/>
        <v/>
      </c>
      <c r="L89" s="33" t="str">
        <f t="shared" si="14"/>
        <v/>
      </c>
      <c r="M89" t="str">
        <f t="shared" si="15"/>
        <v/>
      </c>
      <c r="N89" s="33" t="str">
        <f t="shared" si="16"/>
        <v/>
      </c>
      <c r="O89" s="33" t="str">
        <f t="shared" si="17"/>
        <v/>
      </c>
      <c r="P89" t="str">
        <f t="shared" si="18"/>
        <v/>
      </c>
      <c r="Q89" s="33" t="str">
        <f t="shared" si="19"/>
        <v/>
      </c>
      <c r="R89" s="39" t="str">
        <f t="shared" si="20"/>
        <v/>
      </c>
    </row>
    <row r="90" spans="6:18" x14ac:dyDescent="0.25">
      <c r="F90" s="35">
        <v>84</v>
      </c>
      <c r="J90" t="str">
        <f t="shared" si="12"/>
        <v/>
      </c>
      <c r="K90" t="str">
        <f t="shared" si="13"/>
        <v/>
      </c>
      <c r="L90" s="33" t="str">
        <f t="shared" si="14"/>
        <v/>
      </c>
      <c r="M90" t="str">
        <f t="shared" si="15"/>
        <v/>
      </c>
      <c r="N90" s="33" t="str">
        <f t="shared" si="16"/>
        <v/>
      </c>
      <c r="O90" s="33" t="str">
        <f t="shared" si="17"/>
        <v/>
      </c>
      <c r="P90" t="str">
        <f t="shared" si="18"/>
        <v/>
      </c>
      <c r="Q90" s="33" t="str">
        <f t="shared" si="19"/>
        <v/>
      </c>
      <c r="R90" s="39" t="str">
        <f t="shared" si="20"/>
        <v/>
      </c>
    </row>
    <row r="91" spans="6:18" x14ac:dyDescent="0.25">
      <c r="F91" s="35">
        <v>85</v>
      </c>
      <c r="J91" t="str">
        <f t="shared" si="12"/>
        <v/>
      </c>
      <c r="K91" t="str">
        <f t="shared" si="13"/>
        <v/>
      </c>
      <c r="L91" s="33" t="str">
        <f t="shared" si="14"/>
        <v/>
      </c>
      <c r="M91" t="str">
        <f t="shared" si="15"/>
        <v/>
      </c>
      <c r="N91" s="33" t="str">
        <f t="shared" si="16"/>
        <v/>
      </c>
      <c r="O91" s="33" t="str">
        <f t="shared" si="17"/>
        <v/>
      </c>
      <c r="P91" t="str">
        <f t="shared" si="18"/>
        <v/>
      </c>
      <c r="Q91" s="33" t="str">
        <f t="shared" si="19"/>
        <v/>
      </c>
      <c r="R91" s="39" t="str">
        <f t="shared" si="20"/>
        <v/>
      </c>
    </row>
    <row r="92" spans="6:18" x14ac:dyDescent="0.25">
      <c r="F92" s="35">
        <v>86</v>
      </c>
      <c r="L92" s="33" t="str">
        <f t="shared" si="14"/>
        <v/>
      </c>
      <c r="M92" t="str">
        <f t="shared" si="15"/>
        <v/>
      </c>
      <c r="N92" s="33" t="str">
        <f t="shared" si="16"/>
        <v/>
      </c>
      <c r="O92" s="33" t="str">
        <f t="shared" si="17"/>
        <v/>
      </c>
      <c r="P92" t="str">
        <f t="shared" si="18"/>
        <v/>
      </c>
      <c r="Q92" s="33" t="str">
        <f t="shared" si="19"/>
        <v/>
      </c>
      <c r="R92" s="39" t="str">
        <f t="shared" si="20"/>
        <v/>
      </c>
    </row>
    <row r="93" spans="6:18" x14ac:dyDescent="0.25">
      <c r="F93" s="35">
        <v>87</v>
      </c>
      <c r="L93" s="33" t="str">
        <f t="shared" si="14"/>
        <v/>
      </c>
      <c r="M93" t="str">
        <f t="shared" si="15"/>
        <v/>
      </c>
      <c r="N93" s="33" t="str">
        <f t="shared" si="16"/>
        <v/>
      </c>
      <c r="O93" s="33" t="str">
        <f t="shared" si="17"/>
        <v/>
      </c>
      <c r="P93" t="str">
        <f t="shared" si="18"/>
        <v/>
      </c>
      <c r="Q93" s="33" t="str">
        <f t="shared" si="19"/>
        <v/>
      </c>
      <c r="R93" s="39" t="str">
        <f t="shared" si="20"/>
        <v/>
      </c>
    </row>
    <row r="94" spans="6:18" x14ac:dyDescent="0.25">
      <c r="F94" s="35">
        <v>88</v>
      </c>
      <c r="L94" s="33" t="str">
        <f t="shared" si="14"/>
        <v/>
      </c>
      <c r="M94" t="str">
        <f t="shared" si="15"/>
        <v/>
      </c>
      <c r="N94" s="33" t="str">
        <f t="shared" si="16"/>
        <v/>
      </c>
      <c r="O94" s="33" t="str">
        <f t="shared" si="17"/>
        <v/>
      </c>
      <c r="P94" t="str">
        <f t="shared" si="18"/>
        <v/>
      </c>
      <c r="Q94" s="33" t="str">
        <f t="shared" si="19"/>
        <v/>
      </c>
      <c r="R94" s="39" t="str">
        <f t="shared" si="20"/>
        <v/>
      </c>
    </row>
    <row r="95" spans="6:18" x14ac:dyDescent="0.25">
      <c r="F95" s="35">
        <v>89</v>
      </c>
      <c r="L95" s="33" t="str">
        <f t="shared" si="14"/>
        <v/>
      </c>
      <c r="M95" t="str">
        <f t="shared" si="15"/>
        <v/>
      </c>
      <c r="N95" s="33" t="str">
        <f t="shared" si="16"/>
        <v/>
      </c>
      <c r="O95" s="33" t="str">
        <f t="shared" si="17"/>
        <v/>
      </c>
      <c r="P95" t="str">
        <f t="shared" si="18"/>
        <v/>
      </c>
      <c r="Q95" s="33" t="str">
        <f t="shared" si="19"/>
        <v/>
      </c>
      <c r="R95" s="39" t="str">
        <f t="shared" si="20"/>
        <v/>
      </c>
    </row>
    <row r="96" spans="6:18" x14ac:dyDescent="0.25">
      <c r="F96" s="35">
        <v>90</v>
      </c>
      <c r="L96" s="33" t="str">
        <f t="shared" si="14"/>
        <v/>
      </c>
      <c r="M96" t="str">
        <f t="shared" si="15"/>
        <v/>
      </c>
      <c r="N96" s="33" t="str">
        <f t="shared" si="16"/>
        <v/>
      </c>
      <c r="O96" s="33" t="str">
        <f t="shared" si="17"/>
        <v/>
      </c>
      <c r="P96" t="str">
        <f t="shared" si="18"/>
        <v/>
      </c>
      <c r="Q96" s="33" t="str">
        <f t="shared" si="19"/>
        <v/>
      </c>
      <c r="R96" s="39" t="str">
        <f t="shared" si="20"/>
        <v/>
      </c>
    </row>
    <row r="97" spans="6:18" x14ac:dyDescent="0.25">
      <c r="F97" s="35">
        <v>91</v>
      </c>
      <c r="L97" s="33" t="str">
        <f t="shared" si="14"/>
        <v/>
      </c>
      <c r="M97" t="str">
        <f t="shared" si="15"/>
        <v/>
      </c>
      <c r="N97" s="33" t="str">
        <f t="shared" si="16"/>
        <v/>
      </c>
      <c r="O97" s="33" t="str">
        <f t="shared" si="17"/>
        <v/>
      </c>
      <c r="P97" t="str">
        <f t="shared" si="18"/>
        <v/>
      </c>
      <c r="Q97" s="33" t="str">
        <f t="shared" si="19"/>
        <v/>
      </c>
      <c r="R97" s="39" t="str">
        <f t="shared" si="20"/>
        <v/>
      </c>
    </row>
    <row r="98" spans="6:18" x14ac:dyDescent="0.25">
      <c r="F98" s="35">
        <v>92</v>
      </c>
      <c r="L98" s="33" t="str">
        <f t="shared" si="14"/>
        <v/>
      </c>
      <c r="M98" t="str">
        <f t="shared" si="15"/>
        <v/>
      </c>
      <c r="N98" s="33" t="str">
        <f t="shared" si="16"/>
        <v/>
      </c>
      <c r="O98" s="33" t="str">
        <f t="shared" si="17"/>
        <v/>
      </c>
      <c r="P98" t="str">
        <f t="shared" si="18"/>
        <v/>
      </c>
      <c r="Q98" s="33" t="str">
        <f t="shared" si="19"/>
        <v/>
      </c>
      <c r="R98" s="39" t="str">
        <f t="shared" si="20"/>
        <v/>
      </c>
    </row>
    <row r="99" spans="6:18" x14ac:dyDescent="0.25">
      <c r="F99" s="35">
        <v>93</v>
      </c>
      <c r="L99" s="33" t="str">
        <f t="shared" si="14"/>
        <v/>
      </c>
      <c r="M99" t="str">
        <f t="shared" si="15"/>
        <v/>
      </c>
      <c r="N99" s="33" t="str">
        <f t="shared" si="16"/>
        <v/>
      </c>
      <c r="O99" s="33" t="str">
        <f t="shared" si="17"/>
        <v/>
      </c>
      <c r="P99" t="str">
        <f t="shared" si="18"/>
        <v/>
      </c>
      <c r="Q99" s="33" t="str">
        <f t="shared" si="19"/>
        <v/>
      </c>
      <c r="R99" s="39" t="str">
        <f t="shared" si="20"/>
        <v/>
      </c>
    </row>
    <row r="100" spans="6:18" x14ac:dyDescent="0.25">
      <c r="F100" s="35">
        <v>94</v>
      </c>
      <c r="L100" s="33" t="str">
        <f t="shared" si="14"/>
        <v/>
      </c>
      <c r="M100" t="str">
        <f t="shared" si="15"/>
        <v/>
      </c>
      <c r="N100" s="33" t="str">
        <f t="shared" si="16"/>
        <v/>
      </c>
      <c r="O100" s="33" t="str">
        <f t="shared" si="17"/>
        <v/>
      </c>
      <c r="P100" t="str">
        <f t="shared" si="18"/>
        <v/>
      </c>
      <c r="Q100" s="33" t="str">
        <f t="shared" si="19"/>
        <v/>
      </c>
      <c r="R100" s="39" t="str">
        <f t="shared" si="20"/>
        <v/>
      </c>
    </row>
    <row r="101" spans="6:18" x14ac:dyDescent="0.25">
      <c r="F101" s="35">
        <v>95</v>
      </c>
      <c r="L101" s="33" t="str">
        <f t="shared" si="14"/>
        <v/>
      </c>
      <c r="M101" t="str">
        <f t="shared" si="15"/>
        <v/>
      </c>
      <c r="N101" s="33" t="str">
        <f t="shared" si="16"/>
        <v/>
      </c>
      <c r="O101" s="33" t="str">
        <f t="shared" si="17"/>
        <v/>
      </c>
      <c r="P101" t="str">
        <f t="shared" si="18"/>
        <v/>
      </c>
      <c r="Q101" s="33" t="str">
        <f t="shared" si="19"/>
        <v/>
      </c>
      <c r="R101" s="39" t="str">
        <f t="shared" si="20"/>
        <v/>
      </c>
    </row>
    <row r="102" spans="6:18" x14ac:dyDescent="0.25">
      <c r="F102" s="35">
        <v>96</v>
      </c>
      <c r="L102" s="33" t="str">
        <f t="shared" si="14"/>
        <v/>
      </c>
      <c r="M102" t="str">
        <f t="shared" si="15"/>
        <v/>
      </c>
      <c r="N102" s="33" t="str">
        <f t="shared" si="16"/>
        <v/>
      </c>
      <c r="O102" s="33" t="str">
        <f t="shared" si="17"/>
        <v/>
      </c>
      <c r="P102" t="str">
        <f t="shared" si="18"/>
        <v/>
      </c>
      <c r="Q102" s="33" t="str">
        <f t="shared" si="19"/>
        <v/>
      </c>
      <c r="R102" s="39" t="str">
        <f t="shared" si="20"/>
        <v/>
      </c>
    </row>
    <row r="103" spans="6:18" x14ac:dyDescent="0.25">
      <c r="F103" s="35">
        <v>97</v>
      </c>
      <c r="L103" s="33" t="str">
        <f t="shared" si="14"/>
        <v/>
      </c>
      <c r="M103" t="str">
        <f t="shared" si="15"/>
        <v/>
      </c>
      <c r="N103" s="33" t="str">
        <f t="shared" si="16"/>
        <v/>
      </c>
      <c r="O103" s="33" t="str">
        <f t="shared" si="17"/>
        <v/>
      </c>
      <c r="P103" t="str">
        <f t="shared" si="18"/>
        <v/>
      </c>
      <c r="Q103" s="33" t="str">
        <f t="shared" si="19"/>
        <v/>
      </c>
      <c r="R103" s="39" t="str">
        <f t="shared" si="20"/>
        <v/>
      </c>
    </row>
    <row r="104" spans="6:18" x14ac:dyDescent="0.25">
      <c r="F104" s="35">
        <v>98</v>
      </c>
      <c r="L104" s="33" t="str">
        <f t="shared" si="14"/>
        <v/>
      </c>
      <c r="M104" t="str">
        <f t="shared" si="15"/>
        <v/>
      </c>
      <c r="N104" s="33" t="str">
        <f t="shared" si="16"/>
        <v/>
      </c>
      <c r="O104" s="33" t="str">
        <f t="shared" si="17"/>
        <v/>
      </c>
      <c r="P104" t="str">
        <f t="shared" si="18"/>
        <v/>
      </c>
      <c r="Q104" s="33" t="str">
        <f t="shared" si="19"/>
        <v/>
      </c>
      <c r="R104" s="39" t="str">
        <f t="shared" si="20"/>
        <v/>
      </c>
    </row>
    <row r="105" spans="6:18" x14ac:dyDescent="0.25">
      <c r="F105" s="35">
        <v>99</v>
      </c>
      <c r="L105" s="33" t="str">
        <f t="shared" si="14"/>
        <v/>
      </c>
      <c r="M105" t="str">
        <f t="shared" si="15"/>
        <v/>
      </c>
      <c r="N105" s="33" t="str">
        <f t="shared" si="16"/>
        <v/>
      </c>
      <c r="O105" s="33" t="str">
        <f t="shared" si="17"/>
        <v/>
      </c>
      <c r="P105" t="str">
        <f t="shared" si="18"/>
        <v/>
      </c>
      <c r="Q105" s="33" t="str">
        <f t="shared" si="19"/>
        <v/>
      </c>
      <c r="R105" s="39" t="str">
        <f t="shared" si="20"/>
        <v/>
      </c>
    </row>
    <row r="106" spans="6:18" x14ac:dyDescent="0.25">
      <c r="F106" s="35">
        <v>100</v>
      </c>
      <c r="L106" s="33" t="str">
        <f t="shared" si="14"/>
        <v/>
      </c>
      <c r="M106" t="str">
        <f t="shared" si="15"/>
        <v/>
      </c>
      <c r="N106" s="33" t="str">
        <f t="shared" si="16"/>
        <v/>
      </c>
      <c r="O106" s="33" t="str">
        <f t="shared" si="17"/>
        <v/>
      </c>
      <c r="P106" t="str">
        <f t="shared" si="18"/>
        <v/>
      </c>
      <c r="Q106" s="33" t="str">
        <f t="shared" si="19"/>
        <v/>
      </c>
      <c r="R106" s="39" t="str">
        <f t="shared" si="20"/>
        <v/>
      </c>
    </row>
    <row r="107" spans="6:18" x14ac:dyDescent="0.25">
      <c r="F107" s="35">
        <v>101</v>
      </c>
      <c r="L107" s="33" t="str">
        <f t="shared" si="14"/>
        <v/>
      </c>
      <c r="M107" t="str">
        <f t="shared" si="15"/>
        <v/>
      </c>
      <c r="N107" s="33" t="str">
        <f t="shared" si="16"/>
        <v/>
      </c>
      <c r="O107" s="33" t="str">
        <f t="shared" si="17"/>
        <v/>
      </c>
      <c r="P107" t="str">
        <f t="shared" si="18"/>
        <v/>
      </c>
      <c r="Q107" s="33" t="str">
        <f t="shared" si="19"/>
        <v/>
      </c>
      <c r="R107" s="39" t="str">
        <f t="shared" si="20"/>
        <v/>
      </c>
    </row>
    <row r="108" spans="6:18" x14ac:dyDescent="0.25">
      <c r="F108" s="35">
        <v>102</v>
      </c>
      <c r="L108" s="33" t="str">
        <f t="shared" si="14"/>
        <v/>
      </c>
      <c r="M108" t="str">
        <f t="shared" si="15"/>
        <v/>
      </c>
      <c r="N108" s="33" t="str">
        <f t="shared" si="16"/>
        <v/>
      </c>
      <c r="O108" s="33" t="str">
        <f t="shared" si="17"/>
        <v/>
      </c>
      <c r="P108" t="str">
        <f t="shared" si="18"/>
        <v/>
      </c>
      <c r="Q108" s="33" t="str">
        <f t="shared" si="19"/>
        <v/>
      </c>
      <c r="R108" s="39" t="str">
        <f t="shared" si="20"/>
        <v/>
      </c>
    </row>
    <row r="109" spans="6:18" x14ac:dyDescent="0.25">
      <c r="F109" s="35">
        <v>103</v>
      </c>
      <c r="L109" s="33" t="str">
        <f t="shared" si="14"/>
        <v/>
      </c>
      <c r="M109" t="str">
        <f t="shared" si="15"/>
        <v/>
      </c>
      <c r="N109" s="33" t="str">
        <f t="shared" si="16"/>
        <v/>
      </c>
      <c r="O109" s="33" t="str">
        <f t="shared" si="17"/>
        <v/>
      </c>
      <c r="P109" t="str">
        <f t="shared" si="18"/>
        <v/>
      </c>
      <c r="Q109" s="33" t="str">
        <f t="shared" si="19"/>
        <v/>
      </c>
      <c r="R109" s="39" t="str">
        <f t="shared" si="20"/>
        <v/>
      </c>
    </row>
    <row r="110" spans="6:18" x14ac:dyDescent="0.25">
      <c r="F110" s="35">
        <v>104</v>
      </c>
      <c r="L110" s="33" t="str">
        <f t="shared" si="14"/>
        <v/>
      </c>
      <c r="M110" t="str">
        <f t="shared" si="15"/>
        <v/>
      </c>
      <c r="N110" s="33" t="str">
        <f t="shared" si="16"/>
        <v/>
      </c>
      <c r="O110" s="33" t="str">
        <f t="shared" si="17"/>
        <v/>
      </c>
      <c r="P110" t="str">
        <f t="shared" si="18"/>
        <v/>
      </c>
      <c r="Q110" s="33" t="str">
        <f t="shared" si="19"/>
        <v/>
      </c>
      <c r="R110" s="39" t="str">
        <f t="shared" si="20"/>
        <v/>
      </c>
    </row>
    <row r="111" spans="6:18" x14ac:dyDescent="0.25">
      <c r="F111" s="35">
        <v>105</v>
      </c>
      <c r="L111" s="33" t="str">
        <f t="shared" si="14"/>
        <v/>
      </c>
      <c r="M111" t="str">
        <f t="shared" si="15"/>
        <v/>
      </c>
      <c r="N111" s="33" t="str">
        <f t="shared" si="16"/>
        <v/>
      </c>
      <c r="O111" s="33" t="str">
        <f t="shared" si="17"/>
        <v/>
      </c>
      <c r="P111" t="str">
        <f t="shared" si="18"/>
        <v/>
      </c>
      <c r="Q111" s="33" t="str">
        <f t="shared" si="19"/>
        <v/>
      </c>
      <c r="R111" s="39" t="str">
        <f t="shared" si="20"/>
        <v/>
      </c>
    </row>
    <row r="112" spans="6:18" x14ac:dyDescent="0.25">
      <c r="F112" s="35">
        <v>106</v>
      </c>
      <c r="L112" s="33" t="str">
        <f t="shared" si="14"/>
        <v/>
      </c>
      <c r="M112" t="str">
        <f t="shared" si="15"/>
        <v/>
      </c>
      <c r="N112" s="33" t="str">
        <f t="shared" si="16"/>
        <v/>
      </c>
      <c r="O112" s="33" t="str">
        <f t="shared" si="17"/>
        <v/>
      </c>
      <c r="P112" t="str">
        <f t="shared" si="18"/>
        <v/>
      </c>
      <c r="Q112" s="33" t="str">
        <f t="shared" si="19"/>
        <v/>
      </c>
      <c r="R112" s="39" t="str">
        <f t="shared" si="20"/>
        <v/>
      </c>
    </row>
    <row r="113" spans="6:18" x14ac:dyDescent="0.25">
      <c r="F113" s="35">
        <v>107</v>
      </c>
      <c r="L113" s="33" t="str">
        <f t="shared" si="14"/>
        <v/>
      </c>
      <c r="M113" t="str">
        <f t="shared" si="15"/>
        <v/>
      </c>
      <c r="N113" s="33" t="str">
        <f t="shared" si="16"/>
        <v/>
      </c>
      <c r="O113" s="33" t="str">
        <f t="shared" si="17"/>
        <v/>
      </c>
      <c r="P113" t="str">
        <f t="shared" si="18"/>
        <v/>
      </c>
      <c r="Q113" s="33" t="str">
        <f t="shared" si="19"/>
        <v/>
      </c>
      <c r="R113" s="39" t="str">
        <f t="shared" si="20"/>
        <v/>
      </c>
    </row>
    <row r="114" spans="6:18" x14ac:dyDescent="0.25">
      <c r="F114" s="35">
        <v>108</v>
      </c>
      <c r="L114" s="33" t="str">
        <f t="shared" si="14"/>
        <v/>
      </c>
      <c r="M114" t="str">
        <f t="shared" si="15"/>
        <v/>
      </c>
      <c r="N114" s="33" t="str">
        <f t="shared" si="16"/>
        <v/>
      </c>
      <c r="O114" s="33" t="str">
        <f t="shared" si="17"/>
        <v/>
      </c>
      <c r="P114" t="str">
        <f t="shared" si="18"/>
        <v/>
      </c>
      <c r="Q114" s="33" t="str">
        <f t="shared" si="19"/>
        <v/>
      </c>
      <c r="R114" s="39" t="str">
        <f t="shared" si="20"/>
        <v/>
      </c>
    </row>
    <row r="115" spans="6:18" x14ac:dyDescent="0.25">
      <c r="F115" s="35">
        <v>109</v>
      </c>
      <c r="L115" s="33" t="str">
        <f t="shared" si="14"/>
        <v/>
      </c>
      <c r="M115" t="str">
        <f t="shared" si="15"/>
        <v/>
      </c>
      <c r="N115" s="33" t="str">
        <f t="shared" si="16"/>
        <v/>
      </c>
      <c r="O115" s="33" t="str">
        <f t="shared" si="17"/>
        <v/>
      </c>
      <c r="P115" t="str">
        <f t="shared" si="18"/>
        <v/>
      </c>
      <c r="Q115" s="33" t="str">
        <f t="shared" si="19"/>
        <v/>
      </c>
      <c r="R115" s="39" t="str">
        <f t="shared" si="20"/>
        <v/>
      </c>
    </row>
    <row r="116" spans="6:18" x14ac:dyDescent="0.25">
      <c r="F116" s="35">
        <v>110</v>
      </c>
      <c r="L116" s="33" t="str">
        <f t="shared" si="14"/>
        <v/>
      </c>
      <c r="M116" t="str">
        <f t="shared" si="15"/>
        <v/>
      </c>
      <c r="N116" s="33" t="str">
        <f t="shared" si="16"/>
        <v/>
      </c>
      <c r="O116" s="33" t="str">
        <f t="shared" si="17"/>
        <v/>
      </c>
      <c r="P116" t="str">
        <f t="shared" si="18"/>
        <v/>
      </c>
      <c r="Q116" s="33" t="str">
        <f t="shared" si="19"/>
        <v/>
      </c>
      <c r="R116" s="39" t="str">
        <f t="shared" si="20"/>
        <v/>
      </c>
    </row>
    <row r="117" spans="6:18" x14ac:dyDescent="0.25">
      <c r="F117" s="35">
        <v>111</v>
      </c>
      <c r="L117" s="33" t="str">
        <f t="shared" si="14"/>
        <v/>
      </c>
      <c r="M117" t="str">
        <f t="shared" si="15"/>
        <v/>
      </c>
      <c r="N117" s="33" t="str">
        <f t="shared" si="16"/>
        <v/>
      </c>
      <c r="O117" s="33" t="str">
        <f t="shared" si="17"/>
        <v/>
      </c>
      <c r="P117" t="str">
        <f t="shared" si="18"/>
        <v/>
      </c>
      <c r="Q117" s="33" t="str">
        <f t="shared" si="19"/>
        <v/>
      </c>
      <c r="R117" s="39" t="str">
        <f t="shared" si="20"/>
        <v/>
      </c>
    </row>
    <row r="118" spans="6:18" x14ac:dyDescent="0.25">
      <c r="F118" s="35">
        <v>112</v>
      </c>
      <c r="L118" s="33" t="str">
        <f t="shared" si="14"/>
        <v/>
      </c>
      <c r="M118" t="str">
        <f t="shared" si="15"/>
        <v/>
      </c>
      <c r="N118" s="33" t="str">
        <f t="shared" si="16"/>
        <v/>
      </c>
      <c r="O118" s="33" t="str">
        <f t="shared" si="17"/>
        <v/>
      </c>
      <c r="P118" t="str">
        <f t="shared" si="18"/>
        <v/>
      </c>
      <c r="Q118" s="33" t="str">
        <f t="shared" si="19"/>
        <v/>
      </c>
      <c r="R118" s="39" t="str">
        <f t="shared" si="20"/>
        <v/>
      </c>
    </row>
    <row r="119" spans="6:18" x14ac:dyDescent="0.25">
      <c r="F119" s="35">
        <v>113</v>
      </c>
      <c r="L119" s="33" t="str">
        <f t="shared" si="14"/>
        <v/>
      </c>
      <c r="M119" t="str">
        <f t="shared" si="15"/>
        <v/>
      </c>
      <c r="N119" s="33" t="str">
        <f t="shared" si="16"/>
        <v/>
      </c>
      <c r="O119" s="33" t="str">
        <f t="shared" si="17"/>
        <v/>
      </c>
      <c r="P119" t="str">
        <f t="shared" si="18"/>
        <v/>
      </c>
      <c r="Q119" s="33" t="str">
        <f t="shared" si="19"/>
        <v/>
      </c>
      <c r="R119" s="39" t="str">
        <f t="shared" si="20"/>
        <v/>
      </c>
    </row>
    <row r="120" spans="6:18" x14ac:dyDescent="0.25">
      <c r="F120" s="35">
        <v>114</v>
      </c>
      <c r="L120" s="33" t="str">
        <f t="shared" si="14"/>
        <v/>
      </c>
      <c r="M120" t="str">
        <f t="shared" si="15"/>
        <v/>
      </c>
      <c r="N120" s="33" t="str">
        <f t="shared" si="16"/>
        <v/>
      </c>
      <c r="O120" s="33" t="str">
        <f t="shared" si="17"/>
        <v/>
      </c>
      <c r="P120" t="str">
        <f t="shared" si="18"/>
        <v/>
      </c>
      <c r="Q120" s="33" t="str">
        <f t="shared" si="19"/>
        <v/>
      </c>
      <c r="R120" s="39" t="str">
        <f t="shared" si="20"/>
        <v/>
      </c>
    </row>
    <row r="121" spans="6:18" x14ac:dyDescent="0.25">
      <c r="F121" s="35">
        <v>115</v>
      </c>
      <c r="L121" s="33" t="str">
        <f t="shared" si="14"/>
        <v/>
      </c>
      <c r="M121" t="str">
        <f t="shared" si="15"/>
        <v/>
      </c>
      <c r="N121" s="33" t="str">
        <f t="shared" si="16"/>
        <v/>
      </c>
      <c r="O121" s="33" t="str">
        <f t="shared" si="17"/>
        <v/>
      </c>
      <c r="P121" t="str">
        <f t="shared" si="18"/>
        <v/>
      </c>
      <c r="Q121" s="33" t="str">
        <f t="shared" si="19"/>
        <v/>
      </c>
      <c r="R121" s="39" t="str">
        <f t="shared" si="20"/>
        <v/>
      </c>
    </row>
    <row r="122" spans="6:18" x14ac:dyDescent="0.25">
      <c r="F122" s="35">
        <v>116</v>
      </c>
      <c r="L122" s="33" t="str">
        <f t="shared" si="14"/>
        <v/>
      </c>
      <c r="M122" t="str">
        <f t="shared" si="15"/>
        <v/>
      </c>
      <c r="N122" s="33" t="str">
        <f t="shared" si="16"/>
        <v/>
      </c>
      <c r="O122" s="33" t="str">
        <f t="shared" si="17"/>
        <v/>
      </c>
      <c r="P122" t="str">
        <f t="shared" si="18"/>
        <v/>
      </c>
      <c r="Q122" s="33" t="str">
        <f t="shared" si="19"/>
        <v/>
      </c>
      <c r="R122" s="39" t="str">
        <f t="shared" si="20"/>
        <v/>
      </c>
    </row>
    <row r="123" spans="6:18" x14ac:dyDescent="0.25">
      <c r="F123" s="35">
        <v>117</v>
      </c>
      <c r="L123" s="33" t="str">
        <f t="shared" si="14"/>
        <v/>
      </c>
      <c r="M123" t="str">
        <f t="shared" si="15"/>
        <v/>
      </c>
      <c r="N123" s="33" t="str">
        <f t="shared" si="16"/>
        <v/>
      </c>
      <c r="O123" s="33" t="str">
        <f t="shared" si="17"/>
        <v/>
      </c>
      <c r="P123" t="str">
        <f t="shared" si="18"/>
        <v/>
      </c>
      <c r="Q123" s="33" t="str">
        <f t="shared" si="19"/>
        <v/>
      </c>
      <c r="R123" s="39" t="str">
        <f t="shared" si="20"/>
        <v/>
      </c>
    </row>
    <row r="124" spans="6:18" x14ac:dyDescent="0.25">
      <c r="F124" s="35">
        <v>118</v>
      </c>
      <c r="L124" s="33" t="str">
        <f t="shared" si="14"/>
        <v/>
      </c>
      <c r="M124" t="str">
        <f t="shared" si="15"/>
        <v/>
      </c>
      <c r="N124" s="33" t="str">
        <f t="shared" si="16"/>
        <v/>
      </c>
      <c r="O124" s="33" t="str">
        <f t="shared" si="17"/>
        <v/>
      </c>
      <c r="P124" t="str">
        <f t="shared" si="18"/>
        <v/>
      </c>
      <c r="Q124" s="33" t="str">
        <f t="shared" si="19"/>
        <v/>
      </c>
      <c r="R124" s="39" t="str">
        <f t="shared" si="20"/>
        <v/>
      </c>
    </row>
    <row r="125" spans="6:18" x14ac:dyDescent="0.25">
      <c r="F125" s="35">
        <v>119</v>
      </c>
      <c r="L125" s="33" t="str">
        <f t="shared" si="14"/>
        <v/>
      </c>
      <c r="M125" t="str">
        <f t="shared" si="15"/>
        <v/>
      </c>
      <c r="N125" s="33" t="str">
        <f t="shared" si="16"/>
        <v/>
      </c>
      <c r="O125" s="33" t="str">
        <f t="shared" si="17"/>
        <v/>
      </c>
      <c r="P125" t="str">
        <f t="shared" si="18"/>
        <v/>
      </c>
      <c r="Q125" s="33" t="str">
        <f t="shared" si="19"/>
        <v/>
      </c>
      <c r="R125" s="39" t="str">
        <f t="shared" si="20"/>
        <v/>
      </c>
    </row>
    <row r="126" spans="6:18" x14ac:dyDescent="0.25">
      <c r="F126" s="35">
        <v>120</v>
      </c>
      <c r="L126" s="33" t="str">
        <f t="shared" si="14"/>
        <v/>
      </c>
      <c r="M126" t="str">
        <f t="shared" si="15"/>
        <v/>
      </c>
      <c r="N126" s="33" t="str">
        <f t="shared" si="16"/>
        <v/>
      </c>
      <c r="O126" s="33" t="str">
        <f t="shared" si="17"/>
        <v/>
      </c>
      <c r="P126" t="str">
        <f t="shared" si="18"/>
        <v/>
      </c>
      <c r="Q126" s="33" t="str">
        <f t="shared" si="19"/>
        <v/>
      </c>
      <c r="R126" s="39" t="str">
        <f t="shared" si="20"/>
        <v/>
      </c>
    </row>
    <row r="127" spans="6:18" x14ac:dyDescent="0.25">
      <c r="F127" s="35">
        <v>121</v>
      </c>
      <c r="L127" s="33" t="str">
        <f t="shared" si="14"/>
        <v/>
      </c>
      <c r="M127" t="str">
        <f t="shared" si="15"/>
        <v/>
      </c>
      <c r="N127" s="33" t="str">
        <f t="shared" si="16"/>
        <v/>
      </c>
      <c r="O127" s="33" t="str">
        <f t="shared" si="17"/>
        <v/>
      </c>
      <c r="P127" t="str">
        <f t="shared" si="18"/>
        <v/>
      </c>
      <c r="Q127" s="33" t="str">
        <f t="shared" si="19"/>
        <v/>
      </c>
      <c r="R127" s="39" t="str">
        <f t="shared" si="20"/>
        <v/>
      </c>
    </row>
    <row r="128" spans="6:18" x14ac:dyDescent="0.25">
      <c r="F128" s="35">
        <v>122</v>
      </c>
      <c r="L128" s="33" t="str">
        <f t="shared" si="14"/>
        <v/>
      </c>
      <c r="M128" t="str">
        <f t="shared" si="15"/>
        <v/>
      </c>
      <c r="N128" s="33" t="str">
        <f t="shared" si="16"/>
        <v/>
      </c>
      <c r="O128" s="33" t="str">
        <f t="shared" si="17"/>
        <v/>
      </c>
      <c r="P128" t="str">
        <f t="shared" si="18"/>
        <v/>
      </c>
      <c r="Q128" s="33" t="str">
        <f t="shared" si="19"/>
        <v/>
      </c>
      <c r="R128" s="39" t="str">
        <f t="shared" si="20"/>
        <v/>
      </c>
    </row>
    <row r="129" spans="6:18" x14ac:dyDescent="0.25">
      <c r="F129" s="35">
        <v>123</v>
      </c>
      <c r="L129" s="33" t="str">
        <f t="shared" si="14"/>
        <v/>
      </c>
      <c r="M129" t="str">
        <f t="shared" si="15"/>
        <v/>
      </c>
      <c r="N129" s="33" t="str">
        <f t="shared" si="16"/>
        <v/>
      </c>
      <c r="O129" s="33" t="str">
        <f t="shared" si="17"/>
        <v/>
      </c>
      <c r="P129" t="str">
        <f t="shared" si="18"/>
        <v/>
      </c>
      <c r="Q129" s="33" t="str">
        <f t="shared" si="19"/>
        <v/>
      </c>
      <c r="R129" s="39" t="str">
        <f t="shared" si="20"/>
        <v/>
      </c>
    </row>
    <row r="130" spans="6:18" x14ac:dyDescent="0.25">
      <c r="F130" s="35">
        <v>124</v>
      </c>
      <c r="L130" s="33" t="str">
        <f t="shared" si="14"/>
        <v/>
      </c>
      <c r="M130" t="str">
        <f t="shared" si="15"/>
        <v/>
      </c>
      <c r="N130" s="33" t="str">
        <f t="shared" si="16"/>
        <v/>
      </c>
      <c r="O130" s="33" t="str">
        <f t="shared" si="17"/>
        <v/>
      </c>
      <c r="P130" t="str">
        <f t="shared" si="18"/>
        <v/>
      </c>
      <c r="Q130" s="33" t="str">
        <f t="shared" si="19"/>
        <v/>
      </c>
      <c r="R130" s="39" t="str">
        <f t="shared" si="20"/>
        <v/>
      </c>
    </row>
    <row r="131" spans="6:18" x14ac:dyDescent="0.25">
      <c r="F131" s="35">
        <v>125</v>
      </c>
      <c r="L131" s="33" t="str">
        <f t="shared" si="14"/>
        <v/>
      </c>
      <c r="M131" t="str">
        <f t="shared" si="15"/>
        <v/>
      </c>
      <c r="N131" s="33" t="str">
        <f t="shared" si="16"/>
        <v/>
      </c>
      <c r="O131" s="33" t="str">
        <f t="shared" si="17"/>
        <v/>
      </c>
      <c r="P131" t="str">
        <f t="shared" si="18"/>
        <v/>
      </c>
      <c r="Q131" s="33" t="str">
        <f t="shared" si="19"/>
        <v/>
      </c>
      <c r="R131" s="39" t="str">
        <f t="shared" si="20"/>
        <v/>
      </c>
    </row>
    <row r="132" spans="6:18" x14ac:dyDescent="0.25">
      <c r="F132" s="35">
        <v>126</v>
      </c>
      <c r="L132" s="33" t="str">
        <f t="shared" si="14"/>
        <v/>
      </c>
      <c r="M132" t="str">
        <f t="shared" si="15"/>
        <v/>
      </c>
      <c r="N132" s="33" t="str">
        <f t="shared" si="16"/>
        <v/>
      </c>
      <c r="O132" s="33" t="str">
        <f t="shared" si="17"/>
        <v/>
      </c>
      <c r="P132" t="str">
        <f t="shared" si="18"/>
        <v/>
      </c>
      <c r="Q132" s="33" t="str">
        <f t="shared" si="19"/>
        <v/>
      </c>
      <c r="R132" s="39" t="str">
        <f t="shared" si="20"/>
        <v/>
      </c>
    </row>
    <row r="133" spans="6:18" x14ac:dyDescent="0.25">
      <c r="F133" s="35">
        <v>127</v>
      </c>
      <c r="L133" s="33" t="str">
        <f t="shared" si="14"/>
        <v/>
      </c>
      <c r="M133" t="str">
        <f t="shared" si="15"/>
        <v/>
      </c>
      <c r="N133" s="33" t="str">
        <f t="shared" si="16"/>
        <v/>
      </c>
      <c r="O133" s="33" t="str">
        <f t="shared" si="17"/>
        <v/>
      </c>
      <c r="P133" t="str">
        <f t="shared" si="18"/>
        <v/>
      </c>
      <c r="Q133" s="33" t="str">
        <f t="shared" si="19"/>
        <v/>
      </c>
      <c r="R133" s="39" t="str">
        <f t="shared" si="20"/>
        <v/>
      </c>
    </row>
    <row r="134" spans="6:18" x14ac:dyDescent="0.25">
      <c r="F134" s="35">
        <v>128</v>
      </c>
      <c r="L134" s="33" t="str">
        <f t="shared" si="14"/>
        <v/>
      </c>
      <c r="M134" t="str">
        <f t="shared" si="15"/>
        <v/>
      </c>
      <c r="N134" s="33" t="str">
        <f t="shared" si="16"/>
        <v/>
      </c>
      <c r="O134" s="33" t="str">
        <f t="shared" si="17"/>
        <v/>
      </c>
      <c r="P134" t="str">
        <f t="shared" si="18"/>
        <v/>
      </c>
      <c r="Q134" s="33" t="str">
        <f t="shared" si="19"/>
        <v/>
      </c>
      <c r="R134" s="39" t="str">
        <f t="shared" si="20"/>
        <v/>
      </c>
    </row>
    <row r="135" spans="6:18" x14ac:dyDescent="0.25">
      <c r="F135" s="35">
        <v>129</v>
      </c>
      <c r="L135" s="33" t="str">
        <f t="shared" si="14"/>
        <v/>
      </c>
      <c r="M135" t="str">
        <f t="shared" si="15"/>
        <v/>
      </c>
      <c r="N135" s="33" t="str">
        <f t="shared" si="16"/>
        <v/>
      </c>
      <c r="O135" s="33" t="str">
        <f t="shared" si="17"/>
        <v/>
      </c>
      <c r="P135" t="str">
        <f t="shared" si="18"/>
        <v/>
      </c>
      <c r="Q135" s="33" t="str">
        <f t="shared" si="19"/>
        <v/>
      </c>
      <c r="R135" s="39" t="str">
        <f t="shared" si="20"/>
        <v/>
      </c>
    </row>
    <row r="136" spans="6:18" x14ac:dyDescent="0.25">
      <c r="F136" s="35">
        <v>130</v>
      </c>
      <c r="L136" s="33" t="str">
        <f t="shared" ref="L136:L199" si="21">IF(G136="","",$C$4*$C$6*$C$7/360)</f>
        <v/>
      </c>
      <c r="M136" t="str">
        <f t="shared" ref="M136:M199" si="22">IF(G136="","",IF(H136=$G$2,100,0))</f>
        <v/>
      </c>
      <c r="N136" s="33" t="str">
        <f t="shared" ref="N136:N199" si="23">IF(G136="","",L136+M136)</f>
        <v/>
      </c>
      <c r="O136" s="33" t="str">
        <f t="shared" ref="O136:O199" si="24">IF(G136="","",1/(1+$C$5*K136/360)^(J136/K136))</f>
        <v/>
      </c>
      <c r="P136" t="str">
        <f t="shared" ref="P136:P199" si="25">IF(G136="","",H136-$C$12)</f>
        <v/>
      </c>
      <c r="Q136" s="33" t="str">
        <f t="shared" ref="Q136:Q199" si="26">IF(G136="","",(P136/K136))</f>
        <v/>
      </c>
      <c r="R136" s="39" t="str">
        <f t="shared" ref="R136:R199" si="27">IF(G136="","",N136*O136)</f>
        <v/>
      </c>
    </row>
    <row r="137" spans="6:18" x14ac:dyDescent="0.25">
      <c r="F137" s="35">
        <v>131</v>
      </c>
      <c r="L137" s="33" t="str">
        <f t="shared" si="21"/>
        <v/>
      </c>
      <c r="M137" t="str">
        <f t="shared" si="22"/>
        <v/>
      </c>
      <c r="N137" s="33" t="str">
        <f t="shared" si="23"/>
        <v/>
      </c>
      <c r="O137" s="33" t="str">
        <f t="shared" si="24"/>
        <v/>
      </c>
      <c r="P137" t="str">
        <f t="shared" si="25"/>
        <v/>
      </c>
      <c r="Q137" s="33" t="str">
        <f t="shared" si="26"/>
        <v/>
      </c>
      <c r="R137" s="39" t="str">
        <f t="shared" si="27"/>
        <v/>
      </c>
    </row>
    <row r="138" spans="6:18" x14ac:dyDescent="0.25">
      <c r="F138" s="35">
        <v>132</v>
      </c>
      <c r="L138" s="33" t="str">
        <f t="shared" si="21"/>
        <v/>
      </c>
      <c r="M138" t="str">
        <f t="shared" si="22"/>
        <v/>
      </c>
      <c r="N138" s="33" t="str">
        <f t="shared" si="23"/>
        <v/>
      </c>
      <c r="O138" s="33" t="str">
        <f t="shared" si="24"/>
        <v/>
      </c>
      <c r="P138" t="str">
        <f t="shared" si="25"/>
        <v/>
      </c>
      <c r="Q138" s="33" t="str">
        <f t="shared" si="26"/>
        <v/>
      </c>
      <c r="R138" s="39" t="str">
        <f t="shared" si="27"/>
        <v/>
      </c>
    </row>
    <row r="139" spans="6:18" x14ac:dyDescent="0.25">
      <c r="F139" s="35">
        <v>133</v>
      </c>
      <c r="L139" s="33" t="str">
        <f t="shared" si="21"/>
        <v/>
      </c>
      <c r="M139" t="str">
        <f t="shared" si="22"/>
        <v/>
      </c>
      <c r="N139" s="33" t="str">
        <f t="shared" si="23"/>
        <v/>
      </c>
      <c r="O139" s="33" t="str">
        <f t="shared" si="24"/>
        <v/>
      </c>
      <c r="P139" t="str">
        <f t="shared" si="25"/>
        <v/>
      </c>
      <c r="Q139" s="33" t="str">
        <f t="shared" si="26"/>
        <v/>
      </c>
      <c r="R139" s="39" t="str">
        <f t="shared" si="27"/>
        <v/>
      </c>
    </row>
    <row r="140" spans="6:18" x14ac:dyDescent="0.25">
      <c r="F140" s="35">
        <v>134</v>
      </c>
      <c r="L140" s="33" t="str">
        <f t="shared" si="21"/>
        <v/>
      </c>
      <c r="M140" t="str">
        <f t="shared" si="22"/>
        <v/>
      </c>
      <c r="N140" s="33" t="str">
        <f t="shared" si="23"/>
        <v/>
      </c>
      <c r="O140" s="33" t="str">
        <f t="shared" si="24"/>
        <v/>
      </c>
      <c r="P140" t="str">
        <f t="shared" si="25"/>
        <v/>
      </c>
      <c r="Q140" s="33" t="str">
        <f t="shared" si="26"/>
        <v/>
      </c>
      <c r="R140" s="39" t="str">
        <f t="shared" si="27"/>
        <v/>
      </c>
    </row>
    <row r="141" spans="6:18" x14ac:dyDescent="0.25">
      <c r="F141" s="35">
        <v>135</v>
      </c>
      <c r="L141" s="33" t="str">
        <f t="shared" si="21"/>
        <v/>
      </c>
      <c r="M141" t="str">
        <f t="shared" si="22"/>
        <v/>
      </c>
      <c r="N141" s="33" t="str">
        <f t="shared" si="23"/>
        <v/>
      </c>
      <c r="O141" s="33" t="str">
        <f t="shared" si="24"/>
        <v/>
      </c>
      <c r="P141" t="str">
        <f t="shared" si="25"/>
        <v/>
      </c>
      <c r="Q141" s="33" t="str">
        <f t="shared" si="26"/>
        <v/>
      </c>
      <c r="R141" s="39" t="str">
        <f t="shared" si="27"/>
        <v/>
      </c>
    </row>
    <row r="142" spans="6:18" x14ac:dyDescent="0.25">
      <c r="F142" s="35">
        <v>136</v>
      </c>
      <c r="L142" s="33" t="str">
        <f t="shared" si="21"/>
        <v/>
      </c>
      <c r="M142" t="str">
        <f t="shared" si="22"/>
        <v/>
      </c>
      <c r="N142" s="33" t="str">
        <f t="shared" si="23"/>
        <v/>
      </c>
      <c r="O142" s="33" t="str">
        <f t="shared" si="24"/>
        <v/>
      </c>
      <c r="P142" t="str">
        <f t="shared" si="25"/>
        <v/>
      </c>
      <c r="Q142" s="33" t="str">
        <f t="shared" si="26"/>
        <v/>
      </c>
      <c r="R142" s="39" t="str">
        <f t="shared" si="27"/>
        <v/>
      </c>
    </row>
    <row r="143" spans="6:18" x14ac:dyDescent="0.25">
      <c r="F143" s="35">
        <v>137</v>
      </c>
      <c r="L143" s="33" t="str">
        <f t="shared" si="21"/>
        <v/>
      </c>
      <c r="M143" t="str">
        <f t="shared" si="22"/>
        <v/>
      </c>
      <c r="N143" s="33" t="str">
        <f t="shared" si="23"/>
        <v/>
      </c>
      <c r="O143" s="33" t="str">
        <f t="shared" si="24"/>
        <v/>
      </c>
      <c r="P143" t="str">
        <f t="shared" si="25"/>
        <v/>
      </c>
      <c r="Q143" s="33" t="str">
        <f t="shared" si="26"/>
        <v/>
      </c>
      <c r="R143" s="39" t="str">
        <f t="shared" si="27"/>
        <v/>
      </c>
    </row>
    <row r="144" spans="6:18" x14ac:dyDescent="0.25">
      <c r="F144" s="35">
        <v>138</v>
      </c>
      <c r="L144" s="33" t="str">
        <f t="shared" si="21"/>
        <v/>
      </c>
      <c r="M144" t="str">
        <f t="shared" si="22"/>
        <v/>
      </c>
      <c r="N144" s="33" t="str">
        <f t="shared" si="23"/>
        <v/>
      </c>
      <c r="O144" s="33" t="str">
        <f t="shared" si="24"/>
        <v/>
      </c>
      <c r="P144" t="str">
        <f t="shared" si="25"/>
        <v/>
      </c>
      <c r="Q144" s="33" t="str">
        <f t="shared" si="26"/>
        <v/>
      </c>
      <c r="R144" s="39" t="str">
        <f t="shared" si="27"/>
        <v/>
      </c>
    </row>
    <row r="145" spans="6:18" x14ac:dyDescent="0.25">
      <c r="F145" s="35">
        <v>139</v>
      </c>
      <c r="L145" s="33" t="str">
        <f t="shared" si="21"/>
        <v/>
      </c>
      <c r="M145" t="str">
        <f t="shared" si="22"/>
        <v/>
      </c>
      <c r="N145" s="33" t="str">
        <f t="shared" si="23"/>
        <v/>
      </c>
      <c r="O145" s="33" t="str">
        <f t="shared" si="24"/>
        <v/>
      </c>
      <c r="P145" t="str">
        <f t="shared" si="25"/>
        <v/>
      </c>
      <c r="Q145" s="33" t="str">
        <f t="shared" si="26"/>
        <v/>
      </c>
      <c r="R145" s="39" t="str">
        <f t="shared" si="27"/>
        <v/>
      </c>
    </row>
    <row r="146" spans="6:18" x14ac:dyDescent="0.25">
      <c r="F146" s="35">
        <v>140</v>
      </c>
      <c r="L146" s="33" t="str">
        <f t="shared" si="21"/>
        <v/>
      </c>
      <c r="M146" t="str">
        <f t="shared" si="22"/>
        <v/>
      </c>
      <c r="N146" s="33" t="str">
        <f t="shared" si="23"/>
        <v/>
      </c>
      <c r="O146" s="33" t="str">
        <f t="shared" si="24"/>
        <v/>
      </c>
      <c r="P146" t="str">
        <f t="shared" si="25"/>
        <v/>
      </c>
      <c r="Q146" s="33" t="str">
        <f t="shared" si="26"/>
        <v/>
      </c>
      <c r="R146" s="39" t="str">
        <f t="shared" si="27"/>
        <v/>
      </c>
    </row>
    <row r="147" spans="6:18" x14ac:dyDescent="0.25">
      <c r="F147" s="35">
        <v>141</v>
      </c>
      <c r="L147" s="33" t="str">
        <f t="shared" si="21"/>
        <v/>
      </c>
      <c r="M147" t="str">
        <f t="shared" si="22"/>
        <v/>
      </c>
      <c r="N147" s="33" t="str">
        <f t="shared" si="23"/>
        <v/>
      </c>
      <c r="O147" s="33" t="str">
        <f t="shared" si="24"/>
        <v/>
      </c>
      <c r="P147" t="str">
        <f t="shared" si="25"/>
        <v/>
      </c>
      <c r="Q147" s="33" t="str">
        <f t="shared" si="26"/>
        <v/>
      </c>
      <c r="R147" s="39" t="str">
        <f t="shared" si="27"/>
        <v/>
      </c>
    </row>
    <row r="148" spans="6:18" x14ac:dyDescent="0.25">
      <c r="F148" s="35">
        <v>142</v>
      </c>
      <c r="L148" s="33" t="str">
        <f t="shared" si="21"/>
        <v/>
      </c>
      <c r="M148" t="str">
        <f t="shared" si="22"/>
        <v/>
      </c>
      <c r="N148" s="33" t="str">
        <f t="shared" si="23"/>
        <v/>
      </c>
      <c r="O148" s="33" t="str">
        <f t="shared" si="24"/>
        <v/>
      </c>
      <c r="P148" t="str">
        <f t="shared" si="25"/>
        <v/>
      </c>
      <c r="Q148" s="33" t="str">
        <f t="shared" si="26"/>
        <v/>
      </c>
      <c r="R148" s="39" t="str">
        <f t="shared" si="27"/>
        <v/>
      </c>
    </row>
    <row r="149" spans="6:18" x14ac:dyDescent="0.25">
      <c r="F149" s="35">
        <v>143</v>
      </c>
      <c r="L149" s="33" t="str">
        <f t="shared" si="21"/>
        <v/>
      </c>
      <c r="M149" t="str">
        <f t="shared" si="22"/>
        <v/>
      </c>
      <c r="N149" s="33" t="str">
        <f t="shared" si="23"/>
        <v/>
      </c>
      <c r="O149" s="33" t="str">
        <f t="shared" si="24"/>
        <v/>
      </c>
      <c r="P149" t="str">
        <f t="shared" si="25"/>
        <v/>
      </c>
      <c r="Q149" s="33" t="str">
        <f t="shared" si="26"/>
        <v/>
      </c>
      <c r="R149" s="39" t="str">
        <f t="shared" si="27"/>
        <v/>
      </c>
    </row>
    <row r="150" spans="6:18" x14ac:dyDescent="0.25">
      <c r="F150" s="35">
        <v>144</v>
      </c>
      <c r="L150" s="33" t="str">
        <f t="shared" si="21"/>
        <v/>
      </c>
      <c r="M150" t="str">
        <f t="shared" si="22"/>
        <v/>
      </c>
      <c r="N150" s="33" t="str">
        <f t="shared" si="23"/>
        <v/>
      </c>
      <c r="O150" s="33" t="str">
        <f t="shared" si="24"/>
        <v/>
      </c>
      <c r="P150" t="str">
        <f t="shared" si="25"/>
        <v/>
      </c>
      <c r="Q150" s="33" t="str">
        <f t="shared" si="26"/>
        <v/>
      </c>
      <c r="R150" s="39" t="str">
        <f t="shared" si="27"/>
        <v/>
      </c>
    </row>
    <row r="151" spans="6:18" x14ac:dyDescent="0.25">
      <c r="F151" s="35">
        <v>145</v>
      </c>
      <c r="L151" s="33" t="str">
        <f t="shared" si="21"/>
        <v/>
      </c>
      <c r="M151" t="str">
        <f t="shared" si="22"/>
        <v/>
      </c>
      <c r="N151" s="33" t="str">
        <f t="shared" si="23"/>
        <v/>
      </c>
      <c r="O151" s="33" t="str">
        <f t="shared" si="24"/>
        <v/>
      </c>
      <c r="P151" t="str">
        <f t="shared" si="25"/>
        <v/>
      </c>
      <c r="Q151" s="33" t="str">
        <f t="shared" si="26"/>
        <v/>
      </c>
      <c r="R151" s="39" t="str">
        <f t="shared" si="27"/>
        <v/>
      </c>
    </row>
    <row r="152" spans="6:18" x14ac:dyDescent="0.25">
      <c r="F152" s="35">
        <v>146</v>
      </c>
      <c r="L152" s="33" t="str">
        <f t="shared" si="21"/>
        <v/>
      </c>
      <c r="M152" t="str">
        <f t="shared" si="22"/>
        <v/>
      </c>
      <c r="N152" s="33" t="str">
        <f t="shared" si="23"/>
        <v/>
      </c>
      <c r="O152" s="33" t="str">
        <f t="shared" si="24"/>
        <v/>
      </c>
      <c r="P152" t="str">
        <f t="shared" si="25"/>
        <v/>
      </c>
      <c r="Q152" s="33" t="str">
        <f t="shared" si="26"/>
        <v/>
      </c>
      <c r="R152" s="39" t="str">
        <f t="shared" si="27"/>
        <v/>
      </c>
    </row>
    <row r="153" spans="6:18" x14ac:dyDescent="0.25">
      <c r="F153" s="35">
        <v>147</v>
      </c>
      <c r="L153" s="33" t="str">
        <f t="shared" si="21"/>
        <v/>
      </c>
      <c r="M153" t="str">
        <f t="shared" si="22"/>
        <v/>
      </c>
      <c r="N153" s="33" t="str">
        <f t="shared" si="23"/>
        <v/>
      </c>
      <c r="O153" s="33" t="str">
        <f t="shared" si="24"/>
        <v/>
      </c>
      <c r="P153" t="str">
        <f t="shared" si="25"/>
        <v/>
      </c>
      <c r="Q153" s="33" t="str">
        <f t="shared" si="26"/>
        <v/>
      </c>
      <c r="R153" s="39" t="str">
        <f t="shared" si="27"/>
        <v/>
      </c>
    </row>
    <row r="154" spans="6:18" x14ac:dyDescent="0.25">
      <c r="F154" s="35">
        <v>148</v>
      </c>
      <c r="L154" s="33" t="str">
        <f t="shared" si="21"/>
        <v/>
      </c>
      <c r="M154" t="str">
        <f t="shared" si="22"/>
        <v/>
      </c>
      <c r="N154" s="33" t="str">
        <f t="shared" si="23"/>
        <v/>
      </c>
      <c r="O154" s="33" t="str">
        <f t="shared" si="24"/>
        <v/>
      </c>
      <c r="P154" t="str">
        <f t="shared" si="25"/>
        <v/>
      </c>
      <c r="Q154" s="33" t="str">
        <f t="shared" si="26"/>
        <v/>
      </c>
      <c r="R154" s="39" t="str">
        <f t="shared" si="27"/>
        <v/>
      </c>
    </row>
    <row r="155" spans="6:18" x14ac:dyDescent="0.25">
      <c r="F155" s="35">
        <v>149</v>
      </c>
      <c r="L155" s="33" t="str">
        <f t="shared" si="21"/>
        <v/>
      </c>
      <c r="M155" t="str">
        <f t="shared" si="22"/>
        <v/>
      </c>
      <c r="N155" s="33" t="str">
        <f t="shared" si="23"/>
        <v/>
      </c>
      <c r="O155" s="33" t="str">
        <f t="shared" si="24"/>
        <v/>
      </c>
      <c r="P155" t="str">
        <f t="shared" si="25"/>
        <v/>
      </c>
      <c r="Q155" s="33" t="str">
        <f t="shared" si="26"/>
        <v/>
      </c>
      <c r="R155" s="39" t="str">
        <f t="shared" si="27"/>
        <v/>
      </c>
    </row>
    <row r="156" spans="6:18" x14ac:dyDescent="0.25">
      <c r="F156" s="35">
        <v>150</v>
      </c>
      <c r="L156" s="33" t="str">
        <f t="shared" si="21"/>
        <v/>
      </c>
      <c r="M156" t="str">
        <f t="shared" si="22"/>
        <v/>
      </c>
      <c r="N156" s="33" t="str">
        <f t="shared" si="23"/>
        <v/>
      </c>
      <c r="O156" s="33" t="str">
        <f t="shared" si="24"/>
        <v/>
      </c>
      <c r="P156" t="str">
        <f t="shared" si="25"/>
        <v/>
      </c>
      <c r="Q156" s="33" t="str">
        <f t="shared" si="26"/>
        <v/>
      </c>
      <c r="R156" s="39" t="str">
        <f t="shared" si="27"/>
        <v/>
      </c>
    </row>
    <row r="157" spans="6:18" x14ac:dyDescent="0.25">
      <c r="F157" s="35">
        <v>151</v>
      </c>
      <c r="L157" s="33" t="str">
        <f t="shared" si="21"/>
        <v/>
      </c>
      <c r="M157" t="str">
        <f t="shared" si="22"/>
        <v/>
      </c>
      <c r="N157" s="33" t="str">
        <f t="shared" si="23"/>
        <v/>
      </c>
      <c r="O157" s="33" t="str">
        <f t="shared" si="24"/>
        <v/>
      </c>
      <c r="P157" t="str">
        <f t="shared" si="25"/>
        <v/>
      </c>
      <c r="Q157" s="33" t="str">
        <f t="shared" si="26"/>
        <v/>
      </c>
      <c r="R157" s="39" t="str">
        <f t="shared" si="27"/>
        <v/>
      </c>
    </row>
    <row r="158" spans="6:18" x14ac:dyDescent="0.25">
      <c r="F158" s="35">
        <v>152</v>
      </c>
      <c r="L158" s="33" t="str">
        <f t="shared" si="21"/>
        <v/>
      </c>
      <c r="M158" t="str">
        <f t="shared" si="22"/>
        <v/>
      </c>
      <c r="N158" s="33" t="str">
        <f t="shared" si="23"/>
        <v/>
      </c>
      <c r="O158" s="33" t="str">
        <f t="shared" si="24"/>
        <v/>
      </c>
      <c r="P158" t="str">
        <f t="shared" si="25"/>
        <v/>
      </c>
      <c r="Q158" s="33" t="str">
        <f t="shared" si="26"/>
        <v/>
      </c>
      <c r="R158" s="39" t="str">
        <f t="shared" si="27"/>
        <v/>
      </c>
    </row>
    <row r="159" spans="6:18" x14ac:dyDescent="0.25">
      <c r="F159" s="35">
        <v>153</v>
      </c>
      <c r="L159" s="33" t="str">
        <f t="shared" si="21"/>
        <v/>
      </c>
      <c r="M159" t="str">
        <f t="shared" si="22"/>
        <v/>
      </c>
      <c r="N159" s="33" t="str">
        <f t="shared" si="23"/>
        <v/>
      </c>
      <c r="O159" s="33" t="str">
        <f t="shared" si="24"/>
        <v/>
      </c>
      <c r="P159" t="str">
        <f t="shared" si="25"/>
        <v/>
      </c>
      <c r="Q159" s="33" t="str">
        <f t="shared" si="26"/>
        <v/>
      </c>
      <c r="R159" s="39" t="str">
        <f t="shared" si="27"/>
        <v/>
      </c>
    </row>
    <row r="160" spans="6:18" x14ac:dyDescent="0.25">
      <c r="F160" s="35">
        <v>154</v>
      </c>
      <c r="L160" s="33" t="str">
        <f t="shared" si="21"/>
        <v/>
      </c>
      <c r="M160" t="str">
        <f t="shared" si="22"/>
        <v/>
      </c>
      <c r="N160" s="33" t="str">
        <f t="shared" si="23"/>
        <v/>
      </c>
      <c r="O160" s="33" t="str">
        <f t="shared" si="24"/>
        <v/>
      </c>
      <c r="P160" t="str">
        <f t="shared" si="25"/>
        <v/>
      </c>
      <c r="Q160" s="33" t="str">
        <f t="shared" si="26"/>
        <v/>
      </c>
      <c r="R160" s="39" t="str">
        <f t="shared" si="27"/>
        <v/>
      </c>
    </row>
    <row r="161" spans="6:18" x14ac:dyDescent="0.25">
      <c r="F161" s="35">
        <v>155</v>
      </c>
      <c r="L161" s="33" t="str">
        <f t="shared" si="21"/>
        <v/>
      </c>
      <c r="M161" t="str">
        <f t="shared" si="22"/>
        <v/>
      </c>
      <c r="N161" s="33" t="str">
        <f t="shared" si="23"/>
        <v/>
      </c>
      <c r="O161" s="33" t="str">
        <f t="shared" si="24"/>
        <v/>
      </c>
      <c r="P161" t="str">
        <f t="shared" si="25"/>
        <v/>
      </c>
      <c r="Q161" s="33" t="str">
        <f t="shared" si="26"/>
        <v/>
      </c>
      <c r="R161" s="39" t="str">
        <f t="shared" si="27"/>
        <v/>
      </c>
    </row>
    <row r="162" spans="6:18" x14ac:dyDescent="0.25">
      <c r="F162" s="35">
        <v>156</v>
      </c>
      <c r="L162" s="33" t="str">
        <f t="shared" si="21"/>
        <v/>
      </c>
      <c r="M162" t="str">
        <f t="shared" si="22"/>
        <v/>
      </c>
      <c r="N162" s="33" t="str">
        <f t="shared" si="23"/>
        <v/>
      </c>
      <c r="O162" s="33" t="str">
        <f t="shared" si="24"/>
        <v/>
      </c>
      <c r="P162" t="str">
        <f t="shared" si="25"/>
        <v/>
      </c>
      <c r="Q162" s="33" t="str">
        <f t="shared" si="26"/>
        <v/>
      </c>
      <c r="R162" s="39" t="str">
        <f t="shared" si="27"/>
        <v/>
      </c>
    </row>
    <row r="163" spans="6:18" x14ac:dyDescent="0.25">
      <c r="F163" s="35">
        <v>157</v>
      </c>
      <c r="L163" s="33" t="str">
        <f t="shared" si="21"/>
        <v/>
      </c>
      <c r="M163" t="str">
        <f t="shared" si="22"/>
        <v/>
      </c>
      <c r="N163" s="33" t="str">
        <f t="shared" si="23"/>
        <v/>
      </c>
      <c r="O163" s="33" t="str">
        <f t="shared" si="24"/>
        <v/>
      </c>
      <c r="P163" t="str">
        <f t="shared" si="25"/>
        <v/>
      </c>
      <c r="Q163" s="33" t="str">
        <f t="shared" si="26"/>
        <v/>
      </c>
      <c r="R163" s="39" t="str">
        <f t="shared" si="27"/>
        <v/>
      </c>
    </row>
    <row r="164" spans="6:18" x14ac:dyDescent="0.25">
      <c r="F164" s="35">
        <v>158</v>
      </c>
      <c r="L164" s="33" t="str">
        <f t="shared" si="21"/>
        <v/>
      </c>
      <c r="M164" t="str">
        <f t="shared" si="22"/>
        <v/>
      </c>
      <c r="N164" s="33" t="str">
        <f t="shared" si="23"/>
        <v/>
      </c>
      <c r="O164" s="33" t="str">
        <f t="shared" si="24"/>
        <v/>
      </c>
      <c r="P164" t="str">
        <f t="shared" si="25"/>
        <v/>
      </c>
      <c r="Q164" s="33" t="str">
        <f t="shared" si="26"/>
        <v/>
      </c>
      <c r="R164" s="39" t="str">
        <f t="shared" si="27"/>
        <v/>
      </c>
    </row>
    <row r="165" spans="6:18" x14ac:dyDescent="0.25">
      <c r="F165" s="35">
        <v>159</v>
      </c>
      <c r="L165" s="33" t="str">
        <f t="shared" si="21"/>
        <v/>
      </c>
      <c r="M165" t="str">
        <f t="shared" si="22"/>
        <v/>
      </c>
      <c r="N165" s="33" t="str">
        <f t="shared" si="23"/>
        <v/>
      </c>
      <c r="O165" s="33" t="str">
        <f t="shared" si="24"/>
        <v/>
      </c>
      <c r="P165" t="str">
        <f t="shared" si="25"/>
        <v/>
      </c>
      <c r="Q165" s="33" t="str">
        <f t="shared" si="26"/>
        <v/>
      </c>
      <c r="R165" s="39" t="str">
        <f t="shared" si="27"/>
        <v/>
      </c>
    </row>
    <row r="166" spans="6:18" x14ac:dyDescent="0.25">
      <c r="F166" s="35">
        <v>160</v>
      </c>
      <c r="L166" s="33" t="str">
        <f t="shared" si="21"/>
        <v/>
      </c>
      <c r="M166" t="str">
        <f t="shared" si="22"/>
        <v/>
      </c>
      <c r="N166" s="33" t="str">
        <f t="shared" si="23"/>
        <v/>
      </c>
      <c r="O166" s="33" t="str">
        <f t="shared" si="24"/>
        <v/>
      </c>
      <c r="P166" t="str">
        <f t="shared" si="25"/>
        <v/>
      </c>
      <c r="Q166" s="33" t="str">
        <f t="shared" si="26"/>
        <v/>
      </c>
      <c r="R166" s="39" t="str">
        <f t="shared" si="27"/>
        <v/>
      </c>
    </row>
    <row r="167" spans="6:18" x14ac:dyDescent="0.25">
      <c r="F167" s="35">
        <v>161</v>
      </c>
      <c r="L167" s="33" t="str">
        <f t="shared" si="21"/>
        <v/>
      </c>
      <c r="M167" t="str">
        <f t="shared" si="22"/>
        <v/>
      </c>
      <c r="N167" s="33" t="str">
        <f t="shared" si="23"/>
        <v/>
      </c>
      <c r="O167" s="33" t="str">
        <f t="shared" si="24"/>
        <v/>
      </c>
      <c r="P167" t="str">
        <f t="shared" si="25"/>
        <v/>
      </c>
      <c r="Q167" s="33" t="str">
        <f t="shared" si="26"/>
        <v/>
      </c>
      <c r="R167" s="39" t="str">
        <f t="shared" si="27"/>
        <v/>
      </c>
    </row>
    <row r="168" spans="6:18" x14ac:dyDescent="0.25">
      <c r="F168" s="35">
        <v>162</v>
      </c>
      <c r="L168" s="33" t="str">
        <f t="shared" si="21"/>
        <v/>
      </c>
      <c r="M168" t="str">
        <f t="shared" si="22"/>
        <v/>
      </c>
      <c r="N168" s="33" t="str">
        <f t="shared" si="23"/>
        <v/>
      </c>
      <c r="O168" s="33" t="str">
        <f t="shared" si="24"/>
        <v/>
      </c>
      <c r="P168" t="str">
        <f t="shared" si="25"/>
        <v/>
      </c>
      <c r="Q168" s="33" t="str">
        <f t="shared" si="26"/>
        <v/>
      </c>
      <c r="R168" s="39" t="str">
        <f t="shared" si="27"/>
        <v/>
      </c>
    </row>
    <row r="169" spans="6:18" x14ac:dyDescent="0.25">
      <c r="F169" s="35">
        <v>163</v>
      </c>
      <c r="L169" s="33" t="str">
        <f t="shared" si="21"/>
        <v/>
      </c>
      <c r="M169" t="str">
        <f t="shared" si="22"/>
        <v/>
      </c>
      <c r="N169" s="33" t="str">
        <f t="shared" si="23"/>
        <v/>
      </c>
      <c r="O169" s="33" t="str">
        <f t="shared" si="24"/>
        <v/>
      </c>
      <c r="P169" t="str">
        <f t="shared" si="25"/>
        <v/>
      </c>
      <c r="Q169" s="33" t="str">
        <f t="shared" si="26"/>
        <v/>
      </c>
      <c r="R169" s="39" t="str">
        <f t="shared" si="27"/>
        <v/>
      </c>
    </row>
    <row r="170" spans="6:18" x14ac:dyDescent="0.25">
      <c r="F170" s="35">
        <v>164</v>
      </c>
      <c r="L170" s="33" t="str">
        <f t="shared" si="21"/>
        <v/>
      </c>
      <c r="M170" t="str">
        <f t="shared" si="22"/>
        <v/>
      </c>
      <c r="N170" s="33" t="str">
        <f t="shared" si="23"/>
        <v/>
      </c>
      <c r="O170" s="33" t="str">
        <f t="shared" si="24"/>
        <v/>
      </c>
      <c r="P170" t="str">
        <f t="shared" si="25"/>
        <v/>
      </c>
      <c r="Q170" s="33" t="str">
        <f t="shared" si="26"/>
        <v/>
      </c>
      <c r="R170" s="39" t="str">
        <f t="shared" si="27"/>
        <v/>
      </c>
    </row>
    <row r="171" spans="6:18" x14ac:dyDescent="0.25">
      <c r="F171" s="35">
        <v>165</v>
      </c>
      <c r="L171" s="33" t="str">
        <f t="shared" si="21"/>
        <v/>
      </c>
      <c r="M171" t="str">
        <f t="shared" si="22"/>
        <v/>
      </c>
      <c r="N171" s="33" t="str">
        <f t="shared" si="23"/>
        <v/>
      </c>
      <c r="O171" s="33" t="str">
        <f t="shared" si="24"/>
        <v/>
      </c>
      <c r="P171" t="str">
        <f t="shared" si="25"/>
        <v/>
      </c>
      <c r="Q171" s="33" t="str">
        <f t="shared" si="26"/>
        <v/>
      </c>
      <c r="R171" s="39" t="str">
        <f t="shared" si="27"/>
        <v/>
      </c>
    </row>
    <row r="172" spans="6:18" x14ac:dyDescent="0.25">
      <c r="F172" s="35">
        <v>166</v>
      </c>
      <c r="L172" s="33" t="str">
        <f t="shared" si="21"/>
        <v/>
      </c>
      <c r="M172" t="str">
        <f t="shared" si="22"/>
        <v/>
      </c>
      <c r="N172" s="33" t="str">
        <f t="shared" si="23"/>
        <v/>
      </c>
      <c r="O172" s="33" t="str">
        <f t="shared" si="24"/>
        <v/>
      </c>
      <c r="P172" t="str">
        <f t="shared" si="25"/>
        <v/>
      </c>
      <c r="Q172" s="33" t="str">
        <f t="shared" si="26"/>
        <v/>
      </c>
      <c r="R172" s="39" t="str">
        <f t="shared" si="27"/>
        <v/>
      </c>
    </row>
    <row r="173" spans="6:18" x14ac:dyDescent="0.25">
      <c r="F173" s="35">
        <v>167</v>
      </c>
      <c r="L173" s="33" t="str">
        <f t="shared" si="21"/>
        <v/>
      </c>
      <c r="M173" t="str">
        <f t="shared" si="22"/>
        <v/>
      </c>
      <c r="N173" s="33" t="str">
        <f t="shared" si="23"/>
        <v/>
      </c>
      <c r="O173" s="33" t="str">
        <f t="shared" si="24"/>
        <v/>
      </c>
      <c r="P173" t="str">
        <f t="shared" si="25"/>
        <v/>
      </c>
      <c r="Q173" s="33" t="str">
        <f t="shared" si="26"/>
        <v/>
      </c>
      <c r="R173" s="39" t="str">
        <f t="shared" si="27"/>
        <v/>
      </c>
    </row>
    <row r="174" spans="6:18" x14ac:dyDescent="0.25">
      <c r="F174" s="35">
        <v>168</v>
      </c>
      <c r="L174" s="33" t="str">
        <f t="shared" si="21"/>
        <v/>
      </c>
      <c r="M174" t="str">
        <f t="shared" si="22"/>
        <v/>
      </c>
      <c r="N174" s="33" t="str">
        <f t="shared" si="23"/>
        <v/>
      </c>
      <c r="O174" s="33" t="str">
        <f t="shared" si="24"/>
        <v/>
      </c>
      <c r="P174" t="str">
        <f t="shared" si="25"/>
        <v/>
      </c>
      <c r="Q174" s="33" t="str">
        <f t="shared" si="26"/>
        <v/>
      </c>
      <c r="R174" s="39" t="str">
        <f t="shared" si="27"/>
        <v/>
      </c>
    </row>
    <row r="175" spans="6:18" x14ac:dyDescent="0.25">
      <c r="F175" s="35">
        <v>169</v>
      </c>
      <c r="L175" s="33" t="str">
        <f t="shared" si="21"/>
        <v/>
      </c>
      <c r="M175" t="str">
        <f t="shared" si="22"/>
        <v/>
      </c>
      <c r="N175" s="33" t="str">
        <f t="shared" si="23"/>
        <v/>
      </c>
      <c r="O175" s="33" t="str">
        <f t="shared" si="24"/>
        <v/>
      </c>
      <c r="P175" t="str">
        <f t="shared" si="25"/>
        <v/>
      </c>
      <c r="Q175" s="33" t="str">
        <f t="shared" si="26"/>
        <v/>
      </c>
      <c r="R175" s="39" t="str">
        <f t="shared" si="27"/>
        <v/>
      </c>
    </row>
    <row r="176" spans="6:18" x14ac:dyDescent="0.25">
      <c r="F176" s="35">
        <v>170</v>
      </c>
      <c r="L176" s="33" t="str">
        <f t="shared" si="21"/>
        <v/>
      </c>
      <c r="M176" t="str">
        <f t="shared" si="22"/>
        <v/>
      </c>
      <c r="N176" s="33" t="str">
        <f t="shared" si="23"/>
        <v/>
      </c>
      <c r="O176" s="33" t="str">
        <f t="shared" si="24"/>
        <v/>
      </c>
      <c r="P176" t="str">
        <f t="shared" si="25"/>
        <v/>
      </c>
      <c r="Q176" s="33" t="str">
        <f t="shared" si="26"/>
        <v/>
      </c>
      <c r="R176" s="39" t="str">
        <f t="shared" si="27"/>
        <v/>
      </c>
    </row>
    <row r="177" spans="6:18" x14ac:dyDescent="0.25">
      <c r="F177" s="35">
        <v>171</v>
      </c>
      <c r="L177" s="33" t="str">
        <f t="shared" si="21"/>
        <v/>
      </c>
      <c r="M177" t="str">
        <f t="shared" si="22"/>
        <v/>
      </c>
      <c r="N177" s="33" t="str">
        <f t="shared" si="23"/>
        <v/>
      </c>
      <c r="O177" s="33" t="str">
        <f t="shared" si="24"/>
        <v/>
      </c>
      <c r="P177" t="str">
        <f t="shared" si="25"/>
        <v/>
      </c>
      <c r="Q177" s="33" t="str">
        <f t="shared" si="26"/>
        <v/>
      </c>
      <c r="R177" s="39" t="str">
        <f t="shared" si="27"/>
        <v/>
      </c>
    </row>
    <row r="178" spans="6:18" x14ac:dyDescent="0.25">
      <c r="F178" s="35">
        <v>172</v>
      </c>
      <c r="L178" s="33" t="str">
        <f t="shared" si="21"/>
        <v/>
      </c>
      <c r="M178" t="str">
        <f t="shared" si="22"/>
        <v/>
      </c>
      <c r="N178" s="33" t="str">
        <f t="shared" si="23"/>
        <v/>
      </c>
      <c r="O178" s="33" t="str">
        <f t="shared" si="24"/>
        <v/>
      </c>
      <c r="P178" t="str">
        <f t="shared" si="25"/>
        <v/>
      </c>
      <c r="Q178" s="33" t="str">
        <f t="shared" si="26"/>
        <v/>
      </c>
      <c r="R178" s="39" t="str">
        <f t="shared" si="27"/>
        <v/>
      </c>
    </row>
    <row r="179" spans="6:18" x14ac:dyDescent="0.25">
      <c r="F179" s="35">
        <v>173</v>
      </c>
      <c r="L179" s="33" t="str">
        <f t="shared" si="21"/>
        <v/>
      </c>
      <c r="M179" t="str">
        <f t="shared" si="22"/>
        <v/>
      </c>
      <c r="N179" s="33" t="str">
        <f t="shared" si="23"/>
        <v/>
      </c>
      <c r="O179" s="33" t="str">
        <f t="shared" si="24"/>
        <v/>
      </c>
      <c r="P179" t="str">
        <f t="shared" si="25"/>
        <v/>
      </c>
      <c r="Q179" s="33" t="str">
        <f t="shared" si="26"/>
        <v/>
      </c>
      <c r="R179" s="39" t="str">
        <f t="shared" si="27"/>
        <v/>
      </c>
    </row>
    <row r="180" spans="6:18" x14ac:dyDescent="0.25">
      <c r="F180" s="35">
        <v>174</v>
      </c>
      <c r="L180" s="33" t="str">
        <f t="shared" si="21"/>
        <v/>
      </c>
      <c r="M180" t="str">
        <f t="shared" si="22"/>
        <v/>
      </c>
      <c r="N180" s="33" t="str">
        <f t="shared" si="23"/>
        <v/>
      </c>
      <c r="O180" s="33" t="str">
        <f t="shared" si="24"/>
        <v/>
      </c>
      <c r="P180" t="str">
        <f t="shared" si="25"/>
        <v/>
      </c>
      <c r="Q180" s="33" t="str">
        <f t="shared" si="26"/>
        <v/>
      </c>
      <c r="R180" s="39" t="str">
        <f t="shared" si="27"/>
        <v/>
      </c>
    </row>
    <row r="181" spans="6:18" x14ac:dyDescent="0.25">
      <c r="F181" s="35">
        <v>175</v>
      </c>
      <c r="L181" s="33" t="str">
        <f t="shared" si="21"/>
        <v/>
      </c>
      <c r="M181" t="str">
        <f t="shared" si="22"/>
        <v/>
      </c>
      <c r="N181" s="33" t="str">
        <f t="shared" si="23"/>
        <v/>
      </c>
      <c r="O181" s="33" t="str">
        <f t="shared" si="24"/>
        <v/>
      </c>
      <c r="P181" t="str">
        <f t="shared" si="25"/>
        <v/>
      </c>
      <c r="Q181" s="33" t="str">
        <f t="shared" si="26"/>
        <v/>
      </c>
      <c r="R181" s="39" t="str">
        <f t="shared" si="27"/>
        <v/>
      </c>
    </row>
    <row r="182" spans="6:18" x14ac:dyDescent="0.25">
      <c r="F182" s="35">
        <v>176</v>
      </c>
      <c r="L182" s="33" t="str">
        <f t="shared" si="21"/>
        <v/>
      </c>
      <c r="M182" t="str">
        <f t="shared" si="22"/>
        <v/>
      </c>
      <c r="N182" s="33" t="str">
        <f t="shared" si="23"/>
        <v/>
      </c>
      <c r="O182" s="33" t="str">
        <f t="shared" si="24"/>
        <v/>
      </c>
      <c r="P182" t="str">
        <f t="shared" si="25"/>
        <v/>
      </c>
      <c r="Q182" s="33" t="str">
        <f t="shared" si="26"/>
        <v/>
      </c>
      <c r="R182" s="39" t="str">
        <f t="shared" si="27"/>
        <v/>
      </c>
    </row>
    <row r="183" spans="6:18" x14ac:dyDescent="0.25">
      <c r="F183" s="35">
        <v>177</v>
      </c>
      <c r="L183" s="33" t="str">
        <f t="shared" si="21"/>
        <v/>
      </c>
      <c r="M183" t="str">
        <f t="shared" si="22"/>
        <v/>
      </c>
      <c r="N183" s="33" t="str">
        <f t="shared" si="23"/>
        <v/>
      </c>
      <c r="O183" s="33" t="str">
        <f t="shared" si="24"/>
        <v/>
      </c>
      <c r="P183" t="str">
        <f t="shared" si="25"/>
        <v/>
      </c>
      <c r="Q183" s="33" t="str">
        <f t="shared" si="26"/>
        <v/>
      </c>
      <c r="R183" s="39" t="str">
        <f t="shared" si="27"/>
        <v/>
      </c>
    </row>
    <row r="184" spans="6:18" x14ac:dyDescent="0.25">
      <c r="F184" s="35">
        <v>178</v>
      </c>
      <c r="L184" s="33" t="str">
        <f t="shared" si="21"/>
        <v/>
      </c>
      <c r="M184" t="str">
        <f t="shared" si="22"/>
        <v/>
      </c>
      <c r="N184" s="33" t="str">
        <f t="shared" si="23"/>
        <v/>
      </c>
      <c r="O184" s="33" t="str">
        <f t="shared" si="24"/>
        <v/>
      </c>
      <c r="P184" t="str">
        <f t="shared" si="25"/>
        <v/>
      </c>
      <c r="Q184" s="33" t="str">
        <f t="shared" si="26"/>
        <v/>
      </c>
      <c r="R184" s="39" t="str">
        <f t="shared" si="27"/>
        <v/>
      </c>
    </row>
    <row r="185" spans="6:18" x14ac:dyDescent="0.25">
      <c r="F185" s="35">
        <v>179</v>
      </c>
      <c r="L185" s="33" t="str">
        <f t="shared" si="21"/>
        <v/>
      </c>
      <c r="M185" t="str">
        <f t="shared" si="22"/>
        <v/>
      </c>
      <c r="N185" s="33" t="str">
        <f t="shared" si="23"/>
        <v/>
      </c>
      <c r="O185" s="33" t="str">
        <f t="shared" si="24"/>
        <v/>
      </c>
      <c r="P185" t="str">
        <f t="shared" si="25"/>
        <v/>
      </c>
      <c r="Q185" s="33" t="str">
        <f t="shared" si="26"/>
        <v/>
      </c>
      <c r="R185" s="39" t="str">
        <f t="shared" si="27"/>
        <v/>
      </c>
    </row>
    <row r="186" spans="6:18" x14ac:dyDescent="0.25">
      <c r="F186" s="35">
        <v>180</v>
      </c>
      <c r="L186" s="33" t="str">
        <f t="shared" si="21"/>
        <v/>
      </c>
      <c r="M186" t="str">
        <f t="shared" si="22"/>
        <v/>
      </c>
      <c r="N186" s="33" t="str">
        <f t="shared" si="23"/>
        <v/>
      </c>
      <c r="O186" s="33" t="str">
        <f t="shared" si="24"/>
        <v/>
      </c>
      <c r="P186" t="str">
        <f t="shared" si="25"/>
        <v/>
      </c>
      <c r="Q186" s="33" t="str">
        <f t="shared" si="26"/>
        <v/>
      </c>
      <c r="R186" s="39" t="str">
        <f t="shared" si="27"/>
        <v/>
      </c>
    </row>
    <row r="187" spans="6:18" x14ac:dyDescent="0.25">
      <c r="F187" s="35">
        <v>181</v>
      </c>
      <c r="L187" s="33" t="str">
        <f t="shared" si="21"/>
        <v/>
      </c>
      <c r="M187" t="str">
        <f t="shared" si="22"/>
        <v/>
      </c>
      <c r="N187" s="33" t="str">
        <f t="shared" si="23"/>
        <v/>
      </c>
      <c r="O187" s="33" t="str">
        <f t="shared" si="24"/>
        <v/>
      </c>
      <c r="P187" t="str">
        <f t="shared" si="25"/>
        <v/>
      </c>
      <c r="Q187" s="33" t="str">
        <f t="shared" si="26"/>
        <v/>
      </c>
      <c r="R187" s="39" t="str">
        <f t="shared" si="27"/>
        <v/>
      </c>
    </row>
    <row r="188" spans="6:18" x14ac:dyDescent="0.25">
      <c r="F188" s="35">
        <v>182</v>
      </c>
      <c r="L188" s="33" t="str">
        <f t="shared" si="21"/>
        <v/>
      </c>
      <c r="M188" t="str">
        <f t="shared" si="22"/>
        <v/>
      </c>
      <c r="N188" s="33" t="str">
        <f t="shared" si="23"/>
        <v/>
      </c>
      <c r="O188" s="33" t="str">
        <f t="shared" si="24"/>
        <v/>
      </c>
      <c r="P188" t="str">
        <f t="shared" si="25"/>
        <v/>
      </c>
      <c r="Q188" s="33" t="str">
        <f t="shared" si="26"/>
        <v/>
      </c>
      <c r="R188" s="39" t="str">
        <f t="shared" si="27"/>
        <v/>
      </c>
    </row>
    <row r="189" spans="6:18" x14ac:dyDescent="0.25">
      <c r="F189" s="35">
        <v>183</v>
      </c>
      <c r="L189" s="33" t="str">
        <f t="shared" si="21"/>
        <v/>
      </c>
      <c r="M189" t="str">
        <f t="shared" si="22"/>
        <v/>
      </c>
      <c r="N189" s="33" t="str">
        <f t="shared" si="23"/>
        <v/>
      </c>
      <c r="O189" s="33" t="str">
        <f t="shared" si="24"/>
        <v/>
      </c>
      <c r="P189" t="str">
        <f t="shared" si="25"/>
        <v/>
      </c>
      <c r="Q189" s="33" t="str">
        <f t="shared" si="26"/>
        <v/>
      </c>
      <c r="R189" s="39" t="str">
        <f t="shared" si="27"/>
        <v/>
      </c>
    </row>
    <row r="190" spans="6:18" x14ac:dyDescent="0.25">
      <c r="F190" s="35">
        <v>184</v>
      </c>
      <c r="L190" s="33" t="str">
        <f t="shared" si="21"/>
        <v/>
      </c>
      <c r="M190" t="str">
        <f t="shared" si="22"/>
        <v/>
      </c>
      <c r="N190" s="33" t="str">
        <f t="shared" si="23"/>
        <v/>
      </c>
      <c r="O190" s="33" t="str">
        <f t="shared" si="24"/>
        <v/>
      </c>
      <c r="P190" t="str">
        <f t="shared" si="25"/>
        <v/>
      </c>
      <c r="Q190" s="33" t="str">
        <f t="shared" si="26"/>
        <v/>
      </c>
      <c r="R190" s="39" t="str">
        <f t="shared" si="27"/>
        <v/>
      </c>
    </row>
    <row r="191" spans="6:18" x14ac:dyDescent="0.25">
      <c r="F191" s="35">
        <v>185</v>
      </c>
      <c r="L191" s="33" t="str">
        <f t="shared" si="21"/>
        <v/>
      </c>
      <c r="M191" t="str">
        <f t="shared" si="22"/>
        <v/>
      </c>
      <c r="N191" s="33" t="str">
        <f t="shared" si="23"/>
        <v/>
      </c>
      <c r="O191" s="33" t="str">
        <f t="shared" si="24"/>
        <v/>
      </c>
      <c r="P191" t="str">
        <f t="shared" si="25"/>
        <v/>
      </c>
      <c r="Q191" s="33" t="str">
        <f t="shared" si="26"/>
        <v/>
      </c>
      <c r="R191" s="39" t="str">
        <f t="shared" si="27"/>
        <v/>
      </c>
    </row>
    <row r="192" spans="6:18" x14ac:dyDescent="0.25">
      <c r="F192" s="35">
        <v>186</v>
      </c>
      <c r="L192" s="33" t="str">
        <f t="shared" si="21"/>
        <v/>
      </c>
      <c r="M192" t="str">
        <f t="shared" si="22"/>
        <v/>
      </c>
      <c r="N192" s="33" t="str">
        <f t="shared" si="23"/>
        <v/>
      </c>
      <c r="O192" s="33" t="str">
        <f t="shared" si="24"/>
        <v/>
      </c>
      <c r="P192" t="str">
        <f t="shared" si="25"/>
        <v/>
      </c>
      <c r="Q192" s="33" t="str">
        <f t="shared" si="26"/>
        <v/>
      </c>
      <c r="R192" s="39" t="str">
        <f t="shared" si="27"/>
        <v/>
      </c>
    </row>
    <row r="193" spans="6:18" x14ac:dyDescent="0.25">
      <c r="F193" s="35">
        <v>187</v>
      </c>
      <c r="L193" s="33" t="str">
        <f t="shared" si="21"/>
        <v/>
      </c>
      <c r="M193" t="str">
        <f t="shared" si="22"/>
        <v/>
      </c>
      <c r="N193" s="33" t="str">
        <f t="shared" si="23"/>
        <v/>
      </c>
      <c r="O193" s="33" t="str">
        <f t="shared" si="24"/>
        <v/>
      </c>
      <c r="P193" t="str">
        <f t="shared" si="25"/>
        <v/>
      </c>
      <c r="Q193" s="33" t="str">
        <f t="shared" si="26"/>
        <v/>
      </c>
      <c r="R193" s="39" t="str">
        <f t="shared" si="27"/>
        <v/>
      </c>
    </row>
    <row r="194" spans="6:18" x14ac:dyDescent="0.25">
      <c r="F194" s="35">
        <v>188</v>
      </c>
      <c r="L194" s="33" t="str">
        <f t="shared" si="21"/>
        <v/>
      </c>
      <c r="M194" t="str">
        <f t="shared" si="22"/>
        <v/>
      </c>
      <c r="N194" s="33" t="str">
        <f t="shared" si="23"/>
        <v/>
      </c>
      <c r="O194" s="33" t="str">
        <f t="shared" si="24"/>
        <v/>
      </c>
      <c r="P194" t="str">
        <f t="shared" si="25"/>
        <v/>
      </c>
      <c r="Q194" s="33" t="str">
        <f t="shared" si="26"/>
        <v/>
      </c>
      <c r="R194" s="39" t="str">
        <f t="shared" si="27"/>
        <v/>
      </c>
    </row>
    <row r="195" spans="6:18" x14ac:dyDescent="0.25">
      <c r="F195" s="35">
        <v>189</v>
      </c>
      <c r="L195" s="33" t="str">
        <f t="shared" si="21"/>
        <v/>
      </c>
      <c r="M195" t="str">
        <f t="shared" si="22"/>
        <v/>
      </c>
      <c r="N195" s="33" t="str">
        <f t="shared" si="23"/>
        <v/>
      </c>
      <c r="O195" s="33" t="str">
        <f t="shared" si="24"/>
        <v/>
      </c>
      <c r="P195" t="str">
        <f t="shared" si="25"/>
        <v/>
      </c>
      <c r="Q195" s="33" t="str">
        <f t="shared" si="26"/>
        <v/>
      </c>
      <c r="R195" s="39" t="str">
        <f t="shared" si="27"/>
        <v/>
      </c>
    </row>
    <row r="196" spans="6:18" x14ac:dyDescent="0.25">
      <c r="F196" s="35">
        <v>190</v>
      </c>
      <c r="L196" s="33" t="str">
        <f t="shared" si="21"/>
        <v/>
      </c>
      <c r="M196" t="str">
        <f t="shared" si="22"/>
        <v/>
      </c>
      <c r="N196" s="33" t="str">
        <f t="shared" si="23"/>
        <v/>
      </c>
      <c r="O196" s="33" t="str">
        <f t="shared" si="24"/>
        <v/>
      </c>
      <c r="P196" t="str">
        <f t="shared" si="25"/>
        <v/>
      </c>
      <c r="Q196" s="33" t="str">
        <f t="shared" si="26"/>
        <v/>
      </c>
      <c r="R196" s="39" t="str">
        <f t="shared" si="27"/>
        <v/>
      </c>
    </row>
    <row r="197" spans="6:18" x14ac:dyDescent="0.25">
      <c r="F197" s="35">
        <v>191</v>
      </c>
      <c r="L197" s="33" t="str">
        <f t="shared" si="21"/>
        <v/>
      </c>
      <c r="M197" t="str">
        <f t="shared" si="22"/>
        <v/>
      </c>
      <c r="N197" s="33" t="str">
        <f t="shared" si="23"/>
        <v/>
      </c>
      <c r="O197" s="33" t="str">
        <f t="shared" si="24"/>
        <v/>
      </c>
      <c r="P197" t="str">
        <f t="shared" si="25"/>
        <v/>
      </c>
      <c r="Q197" s="33" t="str">
        <f t="shared" si="26"/>
        <v/>
      </c>
      <c r="R197" s="39" t="str">
        <f t="shared" si="27"/>
        <v/>
      </c>
    </row>
    <row r="198" spans="6:18" x14ac:dyDescent="0.25">
      <c r="F198" s="35">
        <v>192</v>
      </c>
      <c r="L198" s="33" t="str">
        <f t="shared" si="21"/>
        <v/>
      </c>
      <c r="M198" t="str">
        <f t="shared" si="22"/>
        <v/>
      </c>
      <c r="N198" s="33" t="str">
        <f t="shared" si="23"/>
        <v/>
      </c>
      <c r="O198" s="33" t="str">
        <f t="shared" si="24"/>
        <v/>
      </c>
      <c r="P198" t="str">
        <f t="shared" si="25"/>
        <v/>
      </c>
      <c r="Q198" s="33" t="str">
        <f t="shared" si="26"/>
        <v/>
      </c>
      <c r="R198" s="39" t="str">
        <f t="shared" si="27"/>
        <v/>
      </c>
    </row>
    <row r="199" spans="6:18" x14ac:dyDescent="0.25">
      <c r="F199" s="35">
        <v>193</v>
      </c>
      <c r="L199" s="33" t="str">
        <f t="shared" si="21"/>
        <v/>
      </c>
      <c r="M199" t="str">
        <f t="shared" si="22"/>
        <v/>
      </c>
      <c r="N199" s="33" t="str">
        <f t="shared" si="23"/>
        <v/>
      </c>
      <c r="O199" s="33" t="str">
        <f t="shared" si="24"/>
        <v/>
      </c>
      <c r="P199" t="str">
        <f t="shared" si="25"/>
        <v/>
      </c>
      <c r="Q199" s="33" t="str">
        <f t="shared" si="26"/>
        <v/>
      </c>
      <c r="R199" s="39" t="str">
        <f t="shared" si="27"/>
        <v/>
      </c>
    </row>
    <row r="200" spans="6:18" x14ac:dyDescent="0.25">
      <c r="F200" s="35">
        <v>194</v>
      </c>
      <c r="L200" s="33" t="str">
        <f t="shared" ref="L200:L263" si="28">IF(G200="","",$C$4*$C$6*$C$7/360)</f>
        <v/>
      </c>
      <c r="M200" t="str">
        <f t="shared" ref="M200:M263" si="29">IF(G200="","",IF(H200=$G$2,100,0))</f>
        <v/>
      </c>
      <c r="N200" s="33" t="str">
        <f t="shared" ref="N200:N263" si="30">IF(G200="","",L200+M200)</f>
        <v/>
      </c>
      <c r="O200" s="33" t="str">
        <f t="shared" ref="O200:O263" si="31">IF(G200="","",1/(1+$C$5*K200/360)^(J200/K200))</f>
        <v/>
      </c>
      <c r="P200" t="str">
        <f t="shared" ref="P200:P263" si="32">IF(G200="","",H200-$C$12)</f>
        <v/>
      </c>
      <c r="Q200" s="33" t="str">
        <f t="shared" ref="Q200:Q263" si="33">IF(G200="","",(P200/K200))</f>
        <v/>
      </c>
      <c r="R200" s="39" t="str">
        <f t="shared" ref="R200:R263" si="34">IF(G200="","",N200*O200)</f>
        <v/>
      </c>
    </row>
    <row r="201" spans="6:18" x14ac:dyDescent="0.25">
      <c r="F201" s="35">
        <v>195</v>
      </c>
      <c r="L201" s="33" t="str">
        <f t="shared" si="28"/>
        <v/>
      </c>
      <c r="M201" t="str">
        <f t="shared" si="29"/>
        <v/>
      </c>
      <c r="N201" s="33" t="str">
        <f t="shared" si="30"/>
        <v/>
      </c>
      <c r="O201" s="33" t="str">
        <f t="shared" si="31"/>
        <v/>
      </c>
      <c r="P201" t="str">
        <f t="shared" si="32"/>
        <v/>
      </c>
      <c r="Q201" s="33" t="str">
        <f t="shared" si="33"/>
        <v/>
      </c>
      <c r="R201" s="39" t="str">
        <f t="shared" si="34"/>
        <v/>
      </c>
    </row>
    <row r="202" spans="6:18" x14ac:dyDescent="0.25">
      <c r="F202" s="35">
        <v>196</v>
      </c>
      <c r="L202" s="33" t="str">
        <f t="shared" si="28"/>
        <v/>
      </c>
      <c r="M202" t="str">
        <f t="shared" si="29"/>
        <v/>
      </c>
      <c r="N202" s="33" t="str">
        <f t="shared" si="30"/>
        <v/>
      </c>
      <c r="O202" s="33" t="str">
        <f t="shared" si="31"/>
        <v/>
      </c>
      <c r="P202" t="str">
        <f t="shared" si="32"/>
        <v/>
      </c>
      <c r="Q202" s="33" t="str">
        <f t="shared" si="33"/>
        <v/>
      </c>
      <c r="R202" s="39" t="str">
        <f t="shared" si="34"/>
        <v/>
      </c>
    </row>
    <row r="203" spans="6:18" x14ac:dyDescent="0.25">
      <c r="F203" s="35">
        <v>197</v>
      </c>
      <c r="L203" s="33" t="str">
        <f t="shared" si="28"/>
        <v/>
      </c>
      <c r="M203" t="str">
        <f t="shared" si="29"/>
        <v/>
      </c>
      <c r="N203" s="33" t="str">
        <f t="shared" si="30"/>
        <v/>
      </c>
      <c r="O203" s="33" t="str">
        <f t="shared" si="31"/>
        <v/>
      </c>
      <c r="P203" t="str">
        <f t="shared" si="32"/>
        <v/>
      </c>
      <c r="Q203" s="33" t="str">
        <f t="shared" si="33"/>
        <v/>
      </c>
      <c r="R203" s="39" t="str">
        <f t="shared" si="34"/>
        <v/>
      </c>
    </row>
    <row r="204" spans="6:18" x14ac:dyDescent="0.25">
      <c r="F204" s="35">
        <v>198</v>
      </c>
      <c r="L204" s="33" t="str">
        <f t="shared" si="28"/>
        <v/>
      </c>
      <c r="M204" t="str">
        <f t="shared" si="29"/>
        <v/>
      </c>
      <c r="N204" s="33" t="str">
        <f t="shared" si="30"/>
        <v/>
      </c>
      <c r="O204" s="33" t="str">
        <f t="shared" si="31"/>
        <v/>
      </c>
      <c r="P204" t="str">
        <f t="shared" si="32"/>
        <v/>
      </c>
      <c r="Q204" s="33" t="str">
        <f t="shared" si="33"/>
        <v/>
      </c>
      <c r="R204" s="39" t="str">
        <f t="shared" si="34"/>
        <v/>
      </c>
    </row>
    <row r="205" spans="6:18" x14ac:dyDescent="0.25">
      <c r="F205" s="35">
        <v>199</v>
      </c>
      <c r="L205" s="33" t="str">
        <f t="shared" si="28"/>
        <v/>
      </c>
      <c r="M205" t="str">
        <f t="shared" si="29"/>
        <v/>
      </c>
      <c r="N205" s="33" t="str">
        <f t="shared" si="30"/>
        <v/>
      </c>
      <c r="O205" s="33" t="str">
        <f t="shared" si="31"/>
        <v/>
      </c>
      <c r="P205" t="str">
        <f t="shared" si="32"/>
        <v/>
      </c>
      <c r="Q205" s="33" t="str">
        <f t="shared" si="33"/>
        <v/>
      </c>
      <c r="R205" s="39" t="str">
        <f t="shared" si="34"/>
        <v/>
      </c>
    </row>
    <row r="206" spans="6:18" x14ac:dyDescent="0.25">
      <c r="F206" s="35">
        <v>200</v>
      </c>
      <c r="L206" s="33" t="str">
        <f t="shared" si="28"/>
        <v/>
      </c>
      <c r="M206" t="str">
        <f t="shared" si="29"/>
        <v/>
      </c>
      <c r="N206" s="33" t="str">
        <f t="shared" si="30"/>
        <v/>
      </c>
      <c r="O206" s="33" t="str">
        <f t="shared" si="31"/>
        <v/>
      </c>
      <c r="P206" t="str">
        <f t="shared" si="32"/>
        <v/>
      </c>
      <c r="Q206" s="33" t="str">
        <f t="shared" si="33"/>
        <v/>
      </c>
      <c r="R206" s="39" t="str">
        <f t="shared" si="34"/>
        <v/>
      </c>
    </row>
    <row r="207" spans="6:18" x14ac:dyDescent="0.25">
      <c r="F207" s="35">
        <v>201</v>
      </c>
      <c r="L207" s="33" t="str">
        <f t="shared" si="28"/>
        <v/>
      </c>
      <c r="M207" t="str">
        <f t="shared" si="29"/>
        <v/>
      </c>
      <c r="N207" s="33" t="str">
        <f t="shared" si="30"/>
        <v/>
      </c>
      <c r="O207" s="33" t="str">
        <f t="shared" si="31"/>
        <v/>
      </c>
      <c r="P207" t="str">
        <f t="shared" si="32"/>
        <v/>
      </c>
      <c r="Q207" s="33" t="str">
        <f t="shared" si="33"/>
        <v/>
      </c>
      <c r="R207" s="39" t="str">
        <f t="shared" si="34"/>
        <v/>
      </c>
    </row>
    <row r="208" spans="6:18" x14ac:dyDescent="0.25">
      <c r="F208" s="35">
        <v>202</v>
      </c>
      <c r="L208" s="33" t="str">
        <f t="shared" si="28"/>
        <v/>
      </c>
      <c r="M208" t="str">
        <f t="shared" si="29"/>
        <v/>
      </c>
      <c r="N208" s="33" t="str">
        <f t="shared" si="30"/>
        <v/>
      </c>
      <c r="O208" s="33" t="str">
        <f t="shared" si="31"/>
        <v/>
      </c>
      <c r="P208" t="str">
        <f t="shared" si="32"/>
        <v/>
      </c>
      <c r="Q208" s="33" t="str">
        <f t="shared" si="33"/>
        <v/>
      </c>
      <c r="R208" s="39" t="str">
        <f t="shared" si="34"/>
        <v/>
      </c>
    </row>
    <row r="209" spans="6:18" x14ac:dyDescent="0.25">
      <c r="F209" s="35">
        <v>203</v>
      </c>
      <c r="L209" s="33" t="str">
        <f t="shared" si="28"/>
        <v/>
      </c>
      <c r="M209" t="str">
        <f t="shared" si="29"/>
        <v/>
      </c>
      <c r="N209" s="33" t="str">
        <f t="shared" si="30"/>
        <v/>
      </c>
      <c r="O209" s="33" t="str">
        <f t="shared" si="31"/>
        <v/>
      </c>
      <c r="P209" t="str">
        <f t="shared" si="32"/>
        <v/>
      </c>
      <c r="Q209" s="33" t="str">
        <f t="shared" si="33"/>
        <v/>
      </c>
      <c r="R209" s="39" t="str">
        <f t="shared" si="34"/>
        <v/>
      </c>
    </row>
    <row r="210" spans="6:18" x14ac:dyDescent="0.25">
      <c r="F210" s="35">
        <v>204</v>
      </c>
      <c r="L210" s="33" t="str">
        <f t="shared" si="28"/>
        <v/>
      </c>
      <c r="M210" t="str">
        <f t="shared" si="29"/>
        <v/>
      </c>
      <c r="N210" s="33" t="str">
        <f t="shared" si="30"/>
        <v/>
      </c>
      <c r="O210" s="33" t="str">
        <f t="shared" si="31"/>
        <v/>
      </c>
      <c r="P210" t="str">
        <f t="shared" si="32"/>
        <v/>
      </c>
      <c r="Q210" s="33" t="str">
        <f t="shared" si="33"/>
        <v/>
      </c>
      <c r="R210" s="39" t="str">
        <f t="shared" si="34"/>
        <v/>
      </c>
    </row>
    <row r="211" spans="6:18" x14ac:dyDescent="0.25">
      <c r="F211" s="35">
        <v>205</v>
      </c>
      <c r="L211" s="33" t="str">
        <f t="shared" si="28"/>
        <v/>
      </c>
      <c r="M211" t="str">
        <f t="shared" si="29"/>
        <v/>
      </c>
      <c r="N211" s="33" t="str">
        <f t="shared" si="30"/>
        <v/>
      </c>
      <c r="O211" s="33" t="str">
        <f t="shared" si="31"/>
        <v/>
      </c>
      <c r="P211" t="str">
        <f t="shared" si="32"/>
        <v/>
      </c>
      <c r="Q211" s="33" t="str">
        <f t="shared" si="33"/>
        <v/>
      </c>
      <c r="R211" s="39" t="str">
        <f t="shared" si="34"/>
        <v/>
      </c>
    </row>
    <row r="212" spans="6:18" x14ac:dyDescent="0.25">
      <c r="F212" s="35">
        <v>206</v>
      </c>
      <c r="L212" s="33" t="str">
        <f t="shared" si="28"/>
        <v/>
      </c>
      <c r="M212" t="str">
        <f t="shared" si="29"/>
        <v/>
      </c>
      <c r="N212" s="33" t="str">
        <f t="shared" si="30"/>
        <v/>
      </c>
      <c r="O212" s="33" t="str">
        <f t="shared" si="31"/>
        <v/>
      </c>
      <c r="P212" t="str">
        <f t="shared" si="32"/>
        <v/>
      </c>
      <c r="Q212" s="33" t="str">
        <f t="shared" si="33"/>
        <v/>
      </c>
      <c r="R212" s="39" t="str">
        <f t="shared" si="34"/>
        <v/>
      </c>
    </row>
    <row r="213" spans="6:18" x14ac:dyDescent="0.25">
      <c r="F213" s="35">
        <v>207</v>
      </c>
      <c r="L213" s="33" t="str">
        <f t="shared" si="28"/>
        <v/>
      </c>
      <c r="M213" t="str">
        <f t="shared" si="29"/>
        <v/>
      </c>
      <c r="N213" s="33" t="str">
        <f t="shared" si="30"/>
        <v/>
      </c>
      <c r="O213" s="33" t="str">
        <f t="shared" si="31"/>
        <v/>
      </c>
      <c r="P213" t="str">
        <f t="shared" si="32"/>
        <v/>
      </c>
      <c r="Q213" s="33" t="str">
        <f t="shared" si="33"/>
        <v/>
      </c>
      <c r="R213" s="39" t="str">
        <f t="shared" si="34"/>
        <v/>
      </c>
    </row>
    <row r="214" spans="6:18" x14ac:dyDescent="0.25">
      <c r="F214" s="35">
        <v>208</v>
      </c>
      <c r="L214" s="33" t="str">
        <f t="shared" si="28"/>
        <v/>
      </c>
      <c r="M214" t="str">
        <f t="shared" si="29"/>
        <v/>
      </c>
      <c r="N214" s="33" t="str">
        <f t="shared" si="30"/>
        <v/>
      </c>
      <c r="O214" s="33" t="str">
        <f t="shared" si="31"/>
        <v/>
      </c>
      <c r="P214" t="str">
        <f t="shared" si="32"/>
        <v/>
      </c>
      <c r="Q214" s="33" t="str">
        <f t="shared" si="33"/>
        <v/>
      </c>
      <c r="R214" s="39" t="str">
        <f t="shared" si="34"/>
        <v/>
      </c>
    </row>
    <row r="215" spans="6:18" x14ac:dyDescent="0.25">
      <c r="F215" s="35">
        <v>209</v>
      </c>
      <c r="L215" s="33" t="str">
        <f t="shared" si="28"/>
        <v/>
      </c>
      <c r="M215" t="str">
        <f t="shared" si="29"/>
        <v/>
      </c>
      <c r="N215" s="33" t="str">
        <f t="shared" si="30"/>
        <v/>
      </c>
      <c r="O215" s="33" t="str">
        <f t="shared" si="31"/>
        <v/>
      </c>
      <c r="P215" t="str">
        <f t="shared" si="32"/>
        <v/>
      </c>
      <c r="Q215" s="33" t="str">
        <f t="shared" si="33"/>
        <v/>
      </c>
      <c r="R215" s="39" t="str">
        <f t="shared" si="34"/>
        <v/>
      </c>
    </row>
    <row r="216" spans="6:18" x14ac:dyDescent="0.25">
      <c r="F216" s="35">
        <v>210</v>
      </c>
      <c r="L216" s="33" t="str">
        <f t="shared" si="28"/>
        <v/>
      </c>
      <c r="M216" t="str">
        <f t="shared" si="29"/>
        <v/>
      </c>
      <c r="N216" s="33" t="str">
        <f t="shared" si="30"/>
        <v/>
      </c>
      <c r="O216" s="33" t="str">
        <f t="shared" si="31"/>
        <v/>
      </c>
      <c r="P216" t="str">
        <f t="shared" si="32"/>
        <v/>
      </c>
      <c r="Q216" s="33" t="str">
        <f t="shared" si="33"/>
        <v/>
      </c>
      <c r="R216" s="39" t="str">
        <f t="shared" si="34"/>
        <v/>
      </c>
    </row>
    <row r="217" spans="6:18" x14ac:dyDescent="0.25">
      <c r="F217" s="35">
        <v>211</v>
      </c>
      <c r="L217" s="33" t="str">
        <f t="shared" si="28"/>
        <v/>
      </c>
      <c r="M217" t="str">
        <f t="shared" si="29"/>
        <v/>
      </c>
      <c r="N217" s="33" t="str">
        <f t="shared" si="30"/>
        <v/>
      </c>
      <c r="O217" s="33" t="str">
        <f t="shared" si="31"/>
        <v/>
      </c>
      <c r="P217" t="str">
        <f t="shared" si="32"/>
        <v/>
      </c>
      <c r="Q217" s="33" t="str">
        <f t="shared" si="33"/>
        <v/>
      </c>
      <c r="R217" s="39" t="str">
        <f t="shared" si="34"/>
        <v/>
      </c>
    </row>
    <row r="218" spans="6:18" x14ac:dyDescent="0.25">
      <c r="F218" s="35">
        <v>212</v>
      </c>
      <c r="L218" s="33" t="str">
        <f t="shared" si="28"/>
        <v/>
      </c>
      <c r="M218" t="str">
        <f t="shared" si="29"/>
        <v/>
      </c>
      <c r="N218" s="33" t="str">
        <f t="shared" si="30"/>
        <v/>
      </c>
      <c r="O218" s="33" t="str">
        <f t="shared" si="31"/>
        <v/>
      </c>
      <c r="P218" t="str">
        <f t="shared" si="32"/>
        <v/>
      </c>
      <c r="Q218" s="33" t="str">
        <f t="shared" si="33"/>
        <v/>
      </c>
      <c r="R218" s="39" t="str">
        <f t="shared" si="34"/>
        <v/>
      </c>
    </row>
    <row r="219" spans="6:18" x14ac:dyDescent="0.25">
      <c r="F219" s="35">
        <v>213</v>
      </c>
      <c r="L219" s="33" t="str">
        <f t="shared" si="28"/>
        <v/>
      </c>
      <c r="M219" t="str">
        <f t="shared" si="29"/>
        <v/>
      </c>
      <c r="N219" s="33" t="str">
        <f t="shared" si="30"/>
        <v/>
      </c>
      <c r="O219" s="33" t="str">
        <f t="shared" si="31"/>
        <v/>
      </c>
      <c r="P219" t="str">
        <f t="shared" si="32"/>
        <v/>
      </c>
      <c r="Q219" s="33" t="str">
        <f t="shared" si="33"/>
        <v/>
      </c>
      <c r="R219" s="39" t="str">
        <f t="shared" si="34"/>
        <v/>
      </c>
    </row>
    <row r="220" spans="6:18" x14ac:dyDescent="0.25">
      <c r="F220" s="35">
        <v>214</v>
      </c>
      <c r="L220" s="33" t="str">
        <f t="shared" si="28"/>
        <v/>
      </c>
      <c r="M220" t="str">
        <f t="shared" si="29"/>
        <v/>
      </c>
      <c r="N220" s="33" t="str">
        <f t="shared" si="30"/>
        <v/>
      </c>
      <c r="O220" s="33" t="str">
        <f t="shared" si="31"/>
        <v/>
      </c>
      <c r="P220" t="str">
        <f t="shared" si="32"/>
        <v/>
      </c>
      <c r="Q220" s="33" t="str">
        <f t="shared" si="33"/>
        <v/>
      </c>
      <c r="R220" s="39" t="str">
        <f t="shared" si="34"/>
        <v/>
      </c>
    </row>
    <row r="221" spans="6:18" x14ac:dyDescent="0.25">
      <c r="F221" s="35">
        <v>215</v>
      </c>
      <c r="L221" s="33" t="str">
        <f t="shared" si="28"/>
        <v/>
      </c>
      <c r="M221" t="str">
        <f t="shared" si="29"/>
        <v/>
      </c>
      <c r="N221" s="33" t="str">
        <f t="shared" si="30"/>
        <v/>
      </c>
      <c r="O221" s="33" t="str">
        <f t="shared" si="31"/>
        <v/>
      </c>
      <c r="P221" t="str">
        <f t="shared" si="32"/>
        <v/>
      </c>
      <c r="Q221" s="33" t="str">
        <f t="shared" si="33"/>
        <v/>
      </c>
      <c r="R221" s="39" t="str">
        <f t="shared" si="34"/>
        <v/>
      </c>
    </row>
    <row r="222" spans="6:18" x14ac:dyDescent="0.25">
      <c r="F222" s="35">
        <v>216</v>
      </c>
      <c r="L222" s="33" t="str">
        <f t="shared" si="28"/>
        <v/>
      </c>
      <c r="M222" t="str">
        <f t="shared" si="29"/>
        <v/>
      </c>
      <c r="N222" s="33" t="str">
        <f t="shared" si="30"/>
        <v/>
      </c>
      <c r="O222" s="33" t="str">
        <f t="shared" si="31"/>
        <v/>
      </c>
      <c r="P222" t="str">
        <f t="shared" si="32"/>
        <v/>
      </c>
      <c r="Q222" s="33" t="str">
        <f t="shared" si="33"/>
        <v/>
      </c>
      <c r="R222" s="39" t="str">
        <f t="shared" si="34"/>
        <v/>
      </c>
    </row>
    <row r="223" spans="6:18" x14ac:dyDescent="0.25">
      <c r="F223" s="35">
        <v>217</v>
      </c>
      <c r="L223" s="33" t="str">
        <f t="shared" si="28"/>
        <v/>
      </c>
      <c r="M223" t="str">
        <f t="shared" si="29"/>
        <v/>
      </c>
      <c r="N223" s="33" t="str">
        <f t="shared" si="30"/>
        <v/>
      </c>
      <c r="O223" s="33" t="str">
        <f t="shared" si="31"/>
        <v/>
      </c>
      <c r="P223" t="str">
        <f t="shared" si="32"/>
        <v/>
      </c>
      <c r="Q223" s="33" t="str">
        <f t="shared" si="33"/>
        <v/>
      </c>
      <c r="R223" s="39" t="str">
        <f t="shared" si="34"/>
        <v/>
      </c>
    </row>
    <row r="224" spans="6:18" x14ac:dyDescent="0.25">
      <c r="F224" s="35">
        <v>218</v>
      </c>
      <c r="L224" s="33" t="str">
        <f t="shared" si="28"/>
        <v/>
      </c>
      <c r="M224" t="str">
        <f t="shared" si="29"/>
        <v/>
      </c>
      <c r="N224" s="33" t="str">
        <f t="shared" si="30"/>
        <v/>
      </c>
      <c r="O224" s="33" t="str">
        <f t="shared" si="31"/>
        <v/>
      </c>
      <c r="P224" t="str">
        <f t="shared" si="32"/>
        <v/>
      </c>
      <c r="Q224" s="33" t="str">
        <f t="shared" si="33"/>
        <v/>
      </c>
      <c r="R224" s="39" t="str">
        <f t="shared" si="34"/>
        <v/>
      </c>
    </row>
    <row r="225" spans="6:18" x14ac:dyDescent="0.25">
      <c r="F225" s="35">
        <v>219</v>
      </c>
      <c r="L225" s="33" t="str">
        <f t="shared" si="28"/>
        <v/>
      </c>
      <c r="M225" t="str">
        <f t="shared" si="29"/>
        <v/>
      </c>
      <c r="N225" s="33" t="str">
        <f t="shared" si="30"/>
        <v/>
      </c>
      <c r="O225" s="33" t="str">
        <f t="shared" si="31"/>
        <v/>
      </c>
      <c r="P225" t="str">
        <f t="shared" si="32"/>
        <v/>
      </c>
      <c r="Q225" s="33" t="str">
        <f t="shared" si="33"/>
        <v/>
      </c>
      <c r="R225" s="39" t="str">
        <f t="shared" si="34"/>
        <v/>
      </c>
    </row>
    <row r="226" spans="6:18" x14ac:dyDescent="0.25">
      <c r="F226" s="35">
        <v>220</v>
      </c>
      <c r="L226" s="33" t="str">
        <f t="shared" si="28"/>
        <v/>
      </c>
      <c r="M226" t="str">
        <f t="shared" si="29"/>
        <v/>
      </c>
      <c r="N226" s="33" t="str">
        <f t="shared" si="30"/>
        <v/>
      </c>
      <c r="O226" s="33" t="str">
        <f t="shared" si="31"/>
        <v/>
      </c>
      <c r="P226" t="str">
        <f t="shared" si="32"/>
        <v/>
      </c>
      <c r="Q226" s="33" t="str">
        <f t="shared" si="33"/>
        <v/>
      </c>
      <c r="R226" s="39" t="str">
        <f t="shared" si="34"/>
        <v/>
      </c>
    </row>
    <row r="227" spans="6:18" x14ac:dyDescent="0.25">
      <c r="F227" s="35">
        <v>221</v>
      </c>
      <c r="L227" s="33" t="str">
        <f t="shared" si="28"/>
        <v/>
      </c>
      <c r="M227" t="str">
        <f t="shared" si="29"/>
        <v/>
      </c>
      <c r="N227" s="33" t="str">
        <f t="shared" si="30"/>
        <v/>
      </c>
      <c r="O227" s="33" t="str">
        <f t="shared" si="31"/>
        <v/>
      </c>
      <c r="P227" t="str">
        <f t="shared" si="32"/>
        <v/>
      </c>
      <c r="Q227" s="33" t="str">
        <f t="shared" si="33"/>
        <v/>
      </c>
      <c r="R227" s="39" t="str">
        <f t="shared" si="34"/>
        <v/>
      </c>
    </row>
    <row r="228" spans="6:18" x14ac:dyDescent="0.25">
      <c r="F228" s="35">
        <v>222</v>
      </c>
      <c r="L228" s="33" t="str">
        <f t="shared" si="28"/>
        <v/>
      </c>
      <c r="M228" t="str">
        <f t="shared" si="29"/>
        <v/>
      </c>
      <c r="N228" s="33" t="str">
        <f t="shared" si="30"/>
        <v/>
      </c>
      <c r="O228" s="33" t="str">
        <f t="shared" si="31"/>
        <v/>
      </c>
      <c r="P228" t="str">
        <f t="shared" si="32"/>
        <v/>
      </c>
      <c r="Q228" s="33" t="str">
        <f t="shared" si="33"/>
        <v/>
      </c>
      <c r="R228" s="39" t="str">
        <f t="shared" si="34"/>
        <v/>
      </c>
    </row>
    <row r="229" spans="6:18" x14ac:dyDescent="0.25">
      <c r="F229" s="35">
        <v>223</v>
      </c>
      <c r="L229" s="33" t="str">
        <f t="shared" si="28"/>
        <v/>
      </c>
      <c r="M229" t="str">
        <f t="shared" si="29"/>
        <v/>
      </c>
      <c r="N229" s="33" t="str">
        <f t="shared" si="30"/>
        <v/>
      </c>
      <c r="O229" s="33" t="str">
        <f t="shared" si="31"/>
        <v/>
      </c>
      <c r="P229" t="str">
        <f t="shared" si="32"/>
        <v/>
      </c>
      <c r="Q229" s="33" t="str">
        <f t="shared" si="33"/>
        <v/>
      </c>
      <c r="R229" s="39" t="str">
        <f t="shared" si="34"/>
        <v/>
      </c>
    </row>
    <row r="230" spans="6:18" x14ac:dyDescent="0.25">
      <c r="F230" s="35">
        <v>224</v>
      </c>
      <c r="L230" s="33" t="str">
        <f t="shared" si="28"/>
        <v/>
      </c>
      <c r="M230" t="str">
        <f t="shared" si="29"/>
        <v/>
      </c>
      <c r="N230" s="33" t="str">
        <f t="shared" si="30"/>
        <v/>
      </c>
      <c r="O230" s="33" t="str">
        <f t="shared" si="31"/>
        <v/>
      </c>
      <c r="P230" t="str">
        <f t="shared" si="32"/>
        <v/>
      </c>
      <c r="Q230" s="33" t="str">
        <f t="shared" si="33"/>
        <v/>
      </c>
      <c r="R230" s="39" t="str">
        <f t="shared" si="34"/>
        <v/>
      </c>
    </row>
    <row r="231" spans="6:18" x14ac:dyDescent="0.25">
      <c r="F231" s="35">
        <v>225</v>
      </c>
      <c r="L231" s="33" t="str">
        <f t="shared" si="28"/>
        <v/>
      </c>
      <c r="M231" t="str">
        <f t="shared" si="29"/>
        <v/>
      </c>
      <c r="N231" s="33" t="str">
        <f t="shared" si="30"/>
        <v/>
      </c>
      <c r="O231" s="33" t="str">
        <f t="shared" si="31"/>
        <v/>
      </c>
      <c r="P231" t="str">
        <f t="shared" si="32"/>
        <v/>
      </c>
      <c r="Q231" s="33" t="str">
        <f t="shared" si="33"/>
        <v/>
      </c>
      <c r="R231" s="39" t="str">
        <f t="shared" si="34"/>
        <v/>
      </c>
    </row>
    <row r="232" spans="6:18" x14ac:dyDescent="0.25">
      <c r="F232" s="35">
        <v>226</v>
      </c>
      <c r="L232" s="33" t="str">
        <f t="shared" si="28"/>
        <v/>
      </c>
      <c r="M232" t="str">
        <f t="shared" si="29"/>
        <v/>
      </c>
      <c r="N232" s="33" t="str">
        <f t="shared" si="30"/>
        <v/>
      </c>
      <c r="O232" s="33" t="str">
        <f t="shared" si="31"/>
        <v/>
      </c>
      <c r="P232" t="str">
        <f t="shared" si="32"/>
        <v/>
      </c>
      <c r="Q232" s="33" t="str">
        <f t="shared" si="33"/>
        <v/>
      </c>
      <c r="R232" s="39" t="str">
        <f t="shared" si="34"/>
        <v/>
      </c>
    </row>
    <row r="233" spans="6:18" x14ac:dyDescent="0.25">
      <c r="F233" s="35">
        <v>227</v>
      </c>
      <c r="L233" s="33" t="str">
        <f t="shared" si="28"/>
        <v/>
      </c>
      <c r="M233" t="str">
        <f t="shared" si="29"/>
        <v/>
      </c>
      <c r="N233" s="33" t="str">
        <f t="shared" si="30"/>
        <v/>
      </c>
      <c r="O233" s="33" t="str">
        <f t="shared" si="31"/>
        <v/>
      </c>
      <c r="P233" t="str">
        <f t="shared" si="32"/>
        <v/>
      </c>
      <c r="Q233" s="33" t="str">
        <f t="shared" si="33"/>
        <v/>
      </c>
      <c r="R233" s="39" t="str">
        <f t="shared" si="34"/>
        <v/>
      </c>
    </row>
    <row r="234" spans="6:18" x14ac:dyDescent="0.25">
      <c r="F234" s="35">
        <v>228</v>
      </c>
      <c r="L234" s="33" t="str">
        <f t="shared" si="28"/>
        <v/>
      </c>
      <c r="M234" t="str">
        <f t="shared" si="29"/>
        <v/>
      </c>
      <c r="N234" s="33" t="str">
        <f t="shared" si="30"/>
        <v/>
      </c>
      <c r="O234" s="33" t="str">
        <f t="shared" si="31"/>
        <v/>
      </c>
      <c r="P234" t="str">
        <f t="shared" si="32"/>
        <v/>
      </c>
      <c r="Q234" s="33" t="str">
        <f t="shared" si="33"/>
        <v/>
      </c>
      <c r="R234" s="39" t="str">
        <f t="shared" si="34"/>
        <v/>
      </c>
    </row>
    <row r="235" spans="6:18" x14ac:dyDescent="0.25">
      <c r="F235" s="35">
        <v>229</v>
      </c>
      <c r="L235" s="33" t="str">
        <f t="shared" si="28"/>
        <v/>
      </c>
      <c r="M235" t="str">
        <f t="shared" si="29"/>
        <v/>
      </c>
      <c r="N235" s="33" t="str">
        <f t="shared" si="30"/>
        <v/>
      </c>
      <c r="O235" s="33" t="str">
        <f t="shared" si="31"/>
        <v/>
      </c>
      <c r="P235" t="str">
        <f t="shared" si="32"/>
        <v/>
      </c>
      <c r="Q235" s="33" t="str">
        <f t="shared" si="33"/>
        <v/>
      </c>
      <c r="R235" s="39" t="str">
        <f t="shared" si="34"/>
        <v/>
      </c>
    </row>
    <row r="236" spans="6:18" x14ac:dyDescent="0.25">
      <c r="F236" s="35">
        <v>230</v>
      </c>
      <c r="L236" s="33" t="str">
        <f t="shared" si="28"/>
        <v/>
      </c>
      <c r="M236" t="str">
        <f t="shared" si="29"/>
        <v/>
      </c>
      <c r="N236" s="33" t="str">
        <f t="shared" si="30"/>
        <v/>
      </c>
      <c r="O236" s="33" t="str">
        <f t="shared" si="31"/>
        <v/>
      </c>
      <c r="P236" t="str">
        <f t="shared" si="32"/>
        <v/>
      </c>
      <c r="Q236" s="33" t="str">
        <f t="shared" si="33"/>
        <v/>
      </c>
      <c r="R236" s="39" t="str">
        <f t="shared" si="34"/>
        <v/>
      </c>
    </row>
    <row r="237" spans="6:18" x14ac:dyDescent="0.25">
      <c r="F237" s="35">
        <v>231</v>
      </c>
      <c r="L237" s="33" t="str">
        <f t="shared" si="28"/>
        <v/>
      </c>
      <c r="M237" t="str">
        <f t="shared" si="29"/>
        <v/>
      </c>
      <c r="N237" s="33" t="str">
        <f t="shared" si="30"/>
        <v/>
      </c>
      <c r="O237" s="33" t="str">
        <f t="shared" si="31"/>
        <v/>
      </c>
      <c r="P237" t="str">
        <f t="shared" si="32"/>
        <v/>
      </c>
      <c r="Q237" s="33" t="str">
        <f t="shared" si="33"/>
        <v/>
      </c>
      <c r="R237" s="39" t="str">
        <f t="shared" si="34"/>
        <v/>
      </c>
    </row>
    <row r="238" spans="6:18" x14ac:dyDescent="0.25">
      <c r="F238" s="35">
        <v>232</v>
      </c>
      <c r="L238" s="33" t="str">
        <f t="shared" si="28"/>
        <v/>
      </c>
      <c r="M238" t="str">
        <f t="shared" si="29"/>
        <v/>
      </c>
      <c r="N238" s="33" t="str">
        <f t="shared" si="30"/>
        <v/>
      </c>
      <c r="O238" s="33" t="str">
        <f t="shared" si="31"/>
        <v/>
      </c>
      <c r="P238" t="str">
        <f t="shared" si="32"/>
        <v/>
      </c>
      <c r="Q238" s="33" t="str">
        <f t="shared" si="33"/>
        <v/>
      </c>
      <c r="R238" s="39" t="str">
        <f t="shared" si="34"/>
        <v/>
      </c>
    </row>
    <row r="239" spans="6:18" x14ac:dyDescent="0.25">
      <c r="F239" s="35">
        <v>233</v>
      </c>
      <c r="L239" s="33" t="str">
        <f t="shared" si="28"/>
        <v/>
      </c>
      <c r="M239" t="str">
        <f t="shared" si="29"/>
        <v/>
      </c>
      <c r="N239" s="33" t="str">
        <f t="shared" si="30"/>
        <v/>
      </c>
      <c r="O239" s="33" t="str">
        <f t="shared" si="31"/>
        <v/>
      </c>
      <c r="P239" t="str">
        <f t="shared" si="32"/>
        <v/>
      </c>
      <c r="Q239" s="33" t="str">
        <f t="shared" si="33"/>
        <v/>
      </c>
      <c r="R239" s="39" t="str">
        <f t="shared" si="34"/>
        <v/>
      </c>
    </row>
    <row r="240" spans="6:18" x14ac:dyDescent="0.25">
      <c r="F240" s="35">
        <v>234</v>
      </c>
      <c r="L240" s="33" t="str">
        <f t="shared" si="28"/>
        <v/>
      </c>
      <c r="M240" t="str">
        <f t="shared" si="29"/>
        <v/>
      </c>
      <c r="N240" s="33" t="str">
        <f t="shared" si="30"/>
        <v/>
      </c>
      <c r="O240" s="33" t="str">
        <f t="shared" si="31"/>
        <v/>
      </c>
      <c r="P240" t="str">
        <f t="shared" si="32"/>
        <v/>
      </c>
      <c r="Q240" s="33" t="str">
        <f t="shared" si="33"/>
        <v/>
      </c>
      <c r="R240" s="39" t="str">
        <f t="shared" si="34"/>
        <v/>
      </c>
    </row>
    <row r="241" spans="6:18" x14ac:dyDescent="0.25">
      <c r="F241" s="35">
        <v>235</v>
      </c>
      <c r="L241" s="33" t="str">
        <f t="shared" si="28"/>
        <v/>
      </c>
      <c r="M241" t="str">
        <f t="shared" si="29"/>
        <v/>
      </c>
      <c r="N241" s="33" t="str">
        <f t="shared" si="30"/>
        <v/>
      </c>
      <c r="O241" s="33" t="str">
        <f t="shared" si="31"/>
        <v/>
      </c>
      <c r="P241" t="str">
        <f t="shared" si="32"/>
        <v/>
      </c>
      <c r="Q241" s="33" t="str">
        <f t="shared" si="33"/>
        <v/>
      </c>
      <c r="R241" s="39" t="str">
        <f t="shared" si="34"/>
        <v/>
      </c>
    </row>
    <row r="242" spans="6:18" x14ac:dyDescent="0.25">
      <c r="F242" s="35">
        <v>236</v>
      </c>
      <c r="L242" s="33" t="str">
        <f t="shared" si="28"/>
        <v/>
      </c>
      <c r="M242" t="str">
        <f t="shared" si="29"/>
        <v/>
      </c>
      <c r="N242" s="33" t="str">
        <f t="shared" si="30"/>
        <v/>
      </c>
      <c r="O242" s="33" t="str">
        <f t="shared" si="31"/>
        <v/>
      </c>
      <c r="P242" t="str">
        <f t="shared" si="32"/>
        <v/>
      </c>
      <c r="Q242" s="33" t="str">
        <f t="shared" si="33"/>
        <v/>
      </c>
      <c r="R242" s="39" t="str">
        <f t="shared" si="34"/>
        <v/>
      </c>
    </row>
    <row r="243" spans="6:18" x14ac:dyDescent="0.25">
      <c r="F243" s="35">
        <v>237</v>
      </c>
      <c r="L243" s="33" t="str">
        <f t="shared" si="28"/>
        <v/>
      </c>
      <c r="M243" t="str">
        <f t="shared" si="29"/>
        <v/>
      </c>
      <c r="N243" s="33" t="str">
        <f t="shared" si="30"/>
        <v/>
      </c>
      <c r="O243" s="33" t="str">
        <f t="shared" si="31"/>
        <v/>
      </c>
      <c r="P243" t="str">
        <f t="shared" si="32"/>
        <v/>
      </c>
      <c r="Q243" s="33" t="str">
        <f t="shared" si="33"/>
        <v/>
      </c>
      <c r="R243" s="39" t="str">
        <f t="shared" si="34"/>
        <v/>
      </c>
    </row>
    <row r="244" spans="6:18" x14ac:dyDescent="0.25">
      <c r="F244" s="35">
        <v>238</v>
      </c>
      <c r="L244" s="33" t="str">
        <f t="shared" si="28"/>
        <v/>
      </c>
      <c r="M244" t="str">
        <f t="shared" si="29"/>
        <v/>
      </c>
      <c r="N244" s="33" t="str">
        <f t="shared" si="30"/>
        <v/>
      </c>
      <c r="O244" s="33" t="str">
        <f t="shared" si="31"/>
        <v/>
      </c>
      <c r="P244" t="str">
        <f t="shared" si="32"/>
        <v/>
      </c>
      <c r="Q244" s="33" t="str">
        <f t="shared" si="33"/>
        <v/>
      </c>
      <c r="R244" s="39" t="str">
        <f t="shared" si="34"/>
        <v/>
      </c>
    </row>
    <row r="245" spans="6:18" x14ac:dyDescent="0.25">
      <c r="F245" s="35">
        <v>239</v>
      </c>
      <c r="L245" s="33" t="str">
        <f t="shared" si="28"/>
        <v/>
      </c>
      <c r="M245" t="str">
        <f t="shared" si="29"/>
        <v/>
      </c>
      <c r="N245" s="33" t="str">
        <f t="shared" si="30"/>
        <v/>
      </c>
      <c r="O245" s="33" t="str">
        <f t="shared" si="31"/>
        <v/>
      </c>
      <c r="P245" t="str">
        <f t="shared" si="32"/>
        <v/>
      </c>
      <c r="Q245" s="33" t="str">
        <f t="shared" si="33"/>
        <v/>
      </c>
      <c r="R245" s="39" t="str">
        <f t="shared" si="34"/>
        <v/>
      </c>
    </row>
    <row r="246" spans="6:18" x14ac:dyDescent="0.25">
      <c r="F246" s="35">
        <v>240</v>
      </c>
      <c r="L246" s="33" t="str">
        <f t="shared" si="28"/>
        <v/>
      </c>
      <c r="M246" t="str">
        <f t="shared" si="29"/>
        <v/>
      </c>
      <c r="N246" s="33" t="str">
        <f t="shared" si="30"/>
        <v/>
      </c>
      <c r="O246" s="33" t="str">
        <f t="shared" si="31"/>
        <v/>
      </c>
      <c r="P246" t="str">
        <f t="shared" si="32"/>
        <v/>
      </c>
      <c r="Q246" s="33" t="str">
        <f t="shared" si="33"/>
        <v/>
      </c>
      <c r="R246" s="39" t="str">
        <f t="shared" si="34"/>
        <v/>
      </c>
    </row>
    <row r="247" spans="6:18" x14ac:dyDescent="0.25">
      <c r="F247" s="35">
        <v>241</v>
      </c>
      <c r="L247" s="33" t="str">
        <f t="shared" si="28"/>
        <v/>
      </c>
      <c r="M247" t="str">
        <f t="shared" si="29"/>
        <v/>
      </c>
      <c r="N247" s="33" t="str">
        <f t="shared" si="30"/>
        <v/>
      </c>
      <c r="O247" s="33" t="str">
        <f t="shared" si="31"/>
        <v/>
      </c>
      <c r="P247" t="str">
        <f t="shared" si="32"/>
        <v/>
      </c>
      <c r="Q247" s="33" t="str">
        <f t="shared" si="33"/>
        <v/>
      </c>
      <c r="R247" s="39" t="str">
        <f t="shared" si="34"/>
        <v/>
      </c>
    </row>
    <row r="248" spans="6:18" x14ac:dyDescent="0.25">
      <c r="F248" s="35">
        <v>242</v>
      </c>
      <c r="L248" s="33" t="str">
        <f t="shared" si="28"/>
        <v/>
      </c>
      <c r="M248" t="str">
        <f t="shared" si="29"/>
        <v/>
      </c>
      <c r="N248" s="33" t="str">
        <f t="shared" si="30"/>
        <v/>
      </c>
      <c r="O248" s="33" t="str">
        <f t="shared" si="31"/>
        <v/>
      </c>
      <c r="P248" t="str">
        <f t="shared" si="32"/>
        <v/>
      </c>
      <c r="Q248" s="33" t="str">
        <f t="shared" si="33"/>
        <v/>
      </c>
      <c r="R248" s="39" t="str">
        <f t="shared" si="34"/>
        <v/>
      </c>
    </row>
    <row r="249" spans="6:18" x14ac:dyDescent="0.25">
      <c r="F249" s="35">
        <v>243</v>
      </c>
      <c r="L249" s="33" t="str">
        <f t="shared" si="28"/>
        <v/>
      </c>
      <c r="M249" t="str">
        <f t="shared" si="29"/>
        <v/>
      </c>
      <c r="N249" s="33" t="str">
        <f t="shared" si="30"/>
        <v/>
      </c>
      <c r="O249" s="33" t="str">
        <f t="shared" si="31"/>
        <v/>
      </c>
      <c r="P249" t="str">
        <f t="shared" si="32"/>
        <v/>
      </c>
      <c r="Q249" s="33" t="str">
        <f t="shared" si="33"/>
        <v/>
      </c>
      <c r="R249" s="39" t="str">
        <f t="shared" si="34"/>
        <v/>
      </c>
    </row>
    <row r="250" spans="6:18" x14ac:dyDescent="0.25">
      <c r="F250" s="35">
        <v>244</v>
      </c>
      <c r="L250" s="33" t="str">
        <f t="shared" si="28"/>
        <v/>
      </c>
      <c r="M250" t="str">
        <f t="shared" si="29"/>
        <v/>
      </c>
      <c r="N250" s="33" t="str">
        <f t="shared" si="30"/>
        <v/>
      </c>
      <c r="O250" s="33" t="str">
        <f t="shared" si="31"/>
        <v/>
      </c>
      <c r="P250" t="str">
        <f t="shared" si="32"/>
        <v/>
      </c>
      <c r="Q250" s="33" t="str">
        <f t="shared" si="33"/>
        <v/>
      </c>
      <c r="R250" s="39" t="str">
        <f t="shared" si="34"/>
        <v/>
      </c>
    </row>
    <row r="251" spans="6:18" x14ac:dyDescent="0.25">
      <c r="F251" s="35">
        <v>245</v>
      </c>
      <c r="L251" s="33" t="str">
        <f t="shared" si="28"/>
        <v/>
      </c>
      <c r="M251" t="str">
        <f t="shared" si="29"/>
        <v/>
      </c>
      <c r="N251" s="33" t="str">
        <f t="shared" si="30"/>
        <v/>
      </c>
      <c r="O251" s="33" t="str">
        <f t="shared" si="31"/>
        <v/>
      </c>
      <c r="P251" t="str">
        <f t="shared" si="32"/>
        <v/>
      </c>
      <c r="Q251" s="33" t="str">
        <f t="shared" si="33"/>
        <v/>
      </c>
      <c r="R251" s="39" t="str">
        <f t="shared" si="34"/>
        <v/>
      </c>
    </row>
    <row r="252" spans="6:18" x14ac:dyDescent="0.25">
      <c r="F252" s="35">
        <v>246</v>
      </c>
      <c r="L252" s="33" t="str">
        <f t="shared" si="28"/>
        <v/>
      </c>
      <c r="M252" t="str">
        <f t="shared" si="29"/>
        <v/>
      </c>
      <c r="N252" s="33" t="str">
        <f t="shared" si="30"/>
        <v/>
      </c>
      <c r="O252" s="33" t="str">
        <f t="shared" si="31"/>
        <v/>
      </c>
      <c r="P252" t="str">
        <f t="shared" si="32"/>
        <v/>
      </c>
      <c r="Q252" s="33" t="str">
        <f t="shared" si="33"/>
        <v/>
      </c>
      <c r="R252" s="39" t="str">
        <f t="shared" si="34"/>
        <v/>
      </c>
    </row>
    <row r="253" spans="6:18" x14ac:dyDescent="0.25">
      <c r="F253" s="35">
        <v>247</v>
      </c>
      <c r="L253" s="33" t="str">
        <f t="shared" si="28"/>
        <v/>
      </c>
      <c r="M253" t="str">
        <f t="shared" si="29"/>
        <v/>
      </c>
      <c r="N253" s="33" t="str">
        <f t="shared" si="30"/>
        <v/>
      </c>
      <c r="O253" s="33" t="str">
        <f t="shared" si="31"/>
        <v/>
      </c>
      <c r="P253" t="str">
        <f t="shared" si="32"/>
        <v/>
      </c>
      <c r="Q253" s="33" t="str">
        <f t="shared" si="33"/>
        <v/>
      </c>
      <c r="R253" s="39" t="str">
        <f t="shared" si="34"/>
        <v/>
      </c>
    </row>
    <row r="254" spans="6:18" x14ac:dyDescent="0.25">
      <c r="F254" s="35">
        <v>248</v>
      </c>
      <c r="L254" s="33" t="str">
        <f t="shared" si="28"/>
        <v/>
      </c>
      <c r="M254" t="str">
        <f t="shared" si="29"/>
        <v/>
      </c>
      <c r="N254" s="33" t="str">
        <f t="shared" si="30"/>
        <v/>
      </c>
      <c r="O254" s="33" t="str">
        <f t="shared" si="31"/>
        <v/>
      </c>
      <c r="P254" t="str">
        <f t="shared" si="32"/>
        <v/>
      </c>
      <c r="Q254" s="33" t="str">
        <f t="shared" si="33"/>
        <v/>
      </c>
      <c r="R254" s="39" t="str">
        <f t="shared" si="34"/>
        <v/>
      </c>
    </row>
    <row r="255" spans="6:18" x14ac:dyDescent="0.25">
      <c r="F255" s="35">
        <v>249</v>
      </c>
      <c r="L255" s="33" t="str">
        <f t="shared" si="28"/>
        <v/>
      </c>
      <c r="M255" t="str">
        <f t="shared" si="29"/>
        <v/>
      </c>
      <c r="N255" s="33" t="str">
        <f t="shared" si="30"/>
        <v/>
      </c>
      <c r="O255" s="33" t="str">
        <f t="shared" si="31"/>
        <v/>
      </c>
      <c r="P255" t="str">
        <f t="shared" si="32"/>
        <v/>
      </c>
      <c r="Q255" s="33" t="str">
        <f t="shared" si="33"/>
        <v/>
      </c>
      <c r="R255" s="39" t="str">
        <f t="shared" si="34"/>
        <v/>
      </c>
    </row>
    <row r="256" spans="6:18" x14ac:dyDescent="0.25">
      <c r="F256" s="35">
        <v>250</v>
      </c>
      <c r="L256" s="33" t="str">
        <f t="shared" si="28"/>
        <v/>
      </c>
      <c r="M256" t="str">
        <f t="shared" si="29"/>
        <v/>
      </c>
      <c r="N256" s="33" t="str">
        <f t="shared" si="30"/>
        <v/>
      </c>
      <c r="O256" s="33" t="str">
        <f t="shared" si="31"/>
        <v/>
      </c>
      <c r="P256" t="str">
        <f t="shared" si="32"/>
        <v/>
      </c>
      <c r="Q256" s="33" t="str">
        <f t="shared" si="33"/>
        <v/>
      </c>
      <c r="R256" s="39" t="str">
        <f t="shared" si="34"/>
        <v/>
      </c>
    </row>
    <row r="257" spans="6:18" x14ac:dyDescent="0.25">
      <c r="F257" s="35">
        <v>251</v>
      </c>
      <c r="L257" s="33" t="str">
        <f t="shared" si="28"/>
        <v/>
      </c>
      <c r="M257" t="str">
        <f t="shared" si="29"/>
        <v/>
      </c>
      <c r="N257" s="33" t="str">
        <f t="shared" si="30"/>
        <v/>
      </c>
      <c r="O257" s="33" t="str">
        <f t="shared" si="31"/>
        <v/>
      </c>
      <c r="P257" t="str">
        <f t="shared" si="32"/>
        <v/>
      </c>
      <c r="Q257" s="33" t="str">
        <f t="shared" si="33"/>
        <v/>
      </c>
      <c r="R257" s="39" t="str">
        <f t="shared" si="34"/>
        <v/>
      </c>
    </row>
    <row r="258" spans="6:18" x14ac:dyDescent="0.25">
      <c r="F258" s="35">
        <v>252</v>
      </c>
      <c r="L258" s="33" t="str">
        <f t="shared" si="28"/>
        <v/>
      </c>
      <c r="M258" t="str">
        <f t="shared" si="29"/>
        <v/>
      </c>
      <c r="N258" s="33" t="str">
        <f t="shared" si="30"/>
        <v/>
      </c>
      <c r="O258" s="33" t="str">
        <f t="shared" si="31"/>
        <v/>
      </c>
      <c r="P258" t="str">
        <f t="shared" si="32"/>
        <v/>
      </c>
      <c r="Q258" s="33" t="str">
        <f t="shared" si="33"/>
        <v/>
      </c>
      <c r="R258" s="39" t="str">
        <f t="shared" si="34"/>
        <v/>
      </c>
    </row>
    <row r="259" spans="6:18" x14ac:dyDescent="0.25">
      <c r="F259" s="35">
        <v>253</v>
      </c>
      <c r="L259" s="33" t="str">
        <f t="shared" si="28"/>
        <v/>
      </c>
      <c r="M259" t="str">
        <f t="shared" si="29"/>
        <v/>
      </c>
      <c r="N259" s="33" t="str">
        <f t="shared" si="30"/>
        <v/>
      </c>
      <c r="O259" s="33" t="str">
        <f t="shared" si="31"/>
        <v/>
      </c>
      <c r="P259" t="str">
        <f t="shared" si="32"/>
        <v/>
      </c>
      <c r="Q259" s="33" t="str">
        <f t="shared" si="33"/>
        <v/>
      </c>
      <c r="R259" s="39" t="str">
        <f t="shared" si="34"/>
        <v/>
      </c>
    </row>
    <row r="260" spans="6:18" x14ac:dyDescent="0.25">
      <c r="F260" s="35">
        <v>254</v>
      </c>
      <c r="L260" s="33" t="str">
        <f t="shared" si="28"/>
        <v/>
      </c>
      <c r="M260" t="str">
        <f t="shared" si="29"/>
        <v/>
      </c>
      <c r="N260" s="33" t="str">
        <f t="shared" si="30"/>
        <v/>
      </c>
      <c r="O260" s="33" t="str">
        <f t="shared" si="31"/>
        <v/>
      </c>
      <c r="P260" t="str">
        <f t="shared" si="32"/>
        <v/>
      </c>
      <c r="Q260" s="33" t="str">
        <f t="shared" si="33"/>
        <v/>
      </c>
      <c r="R260" s="39" t="str">
        <f t="shared" si="34"/>
        <v/>
      </c>
    </row>
    <row r="261" spans="6:18" x14ac:dyDescent="0.25">
      <c r="F261" s="35">
        <v>255</v>
      </c>
      <c r="L261" s="33" t="str">
        <f t="shared" si="28"/>
        <v/>
      </c>
      <c r="M261" t="str">
        <f t="shared" si="29"/>
        <v/>
      </c>
      <c r="N261" s="33" t="str">
        <f t="shared" si="30"/>
        <v/>
      </c>
      <c r="O261" s="33" t="str">
        <f t="shared" si="31"/>
        <v/>
      </c>
      <c r="P261" t="str">
        <f t="shared" si="32"/>
        <v/>
      </c>
      <c r="Q261" s="33" t="str">
        <f t="shared" si="33"/>
        <v/>
      </c>
      <c r="R261" s="39" t="str">
        <f t="shared" si="34"/>
        <v/>
      </c>
    </row>
    <row r="262" spans="6:18" x14ac:dyDescent="0.25">
      <c r="F262" s="35">
        <v>256</v>
      </c>
      <c r="L262" s="33" t="str">
        <f t="shared" si="28"/>
        <v/>
      </c>
      <c r="M262" t="str">
        <f t="shared" si="29"/>
        <v/>
      </c>
      <c r="N262" s="33" t="str">
        <f t="shared" si="30"/>
        <v/>
      </c>
      <c r="O262" s="33" t="str">
        <f t="shared" si="31"/>
        <v/>
      </c>
      <c r="P262" t="str">
        <f t="shared" si="32"/>
        <v/>
      </c>
      <c r="Q262" s="33" t="str">
        <f t="shared" si="33"/>
        <v/>
      </c>
      <c r="R262" s="39" t="str">
        <f t="shared" si="34"/>
        <v/>
      </c>
    </row>
    <row r="263" spans="6:18" x14ac:dyDescent="0.25">
      <c r="F263" s="35">
        <v>257</v>
      </c>
      <c r="L263" s="33" t="str">
        <f t="shared" si="28"/>
        <v/>
      </c>
      <c r="M263" t="str">
        <f t="shared" si="29"/>
        <v/>
      </c>
      <c r="N263" s="33" t="str">
        <f t="shared" si="30"/>
        <v/>
      </c>
      <c r="O263" s="33" t="str">
        <f t="shared" si="31"/>
        <v/>
      </c>
      <c r="P263" t="str">
        <f t="shared" si="32"/>
        <v/>
      </c>
      <c r="Q263" s="33" t="str">
        <f t="shared" si="33"/>
        <v/>
      </c>
      <c r="R263" s="39" t="str">
        <f t="shared" si="34"/>
        <v/>
      </c>
    </row>
    <row r="264" spans="6:18" x14ac:dyDescent="0.25">
      <c r="F264" s="35">
        <v>258</v>
      </c>
      <c r="L264" s="33" t="str">
        <f t="shared" ref="L264:L327" si="35">IF(G264="","",$C$4*$C$6*$C$7/360)</f>
        <v/>
      </c>
      <c r="M264" t="str">
        <f t="shared" ref="M264:M327" si="36">IF(G264="","",IF(H264=$G$2,100,0))</f>
        <v/>
      </c>
      <c r="N264" s="33" t="str">
        <f t="shared" ref="N264:N327" si="37">IF(G264="","",L264+M264)</f>
        <v/>
      </c>
      <c r="O264" s="33" t="str">
        <f t="shared" ref="O264:O327" si="38">IF(G264="","",1/(1+$C$5*K264/360)^(J264/K264))</f>
        <v/>
      </c>
      <c r="P264" t="str">
        <f t="shared" ref="P264:P327" si="39">IF(G264="","",H264-$C$12)</f>
        <v/>
      </c>
      <c r="Q264" s="33" t="str">
        <f t="shared" ref="Q264:Q327" si="40">IF(G264="","",(P264/K264))</f>
        <v/>
      </c>
      <c r="R264" s="39" t="str">
        <f t="shared" ref="R264:R327" si="41">IF(G264="","",N264*O264)</f>
        <v/>
      </c>
    </row>
    <row r="265" spans="6:18" x14ac:dyDescent="0.25">
      <c r="F265" s="35">
        <v>259</v>
      </c>
      <c r="L265" s="33" t="str">
        <f t="shared" si="35"/>
        <v/>
      </c>
      <c r="M265" t="str">
        <f t="shared" si="36"/>
        <v/>
      </c>
      <c r="N265" s="33" t="str">
        <f t="shared" si="37"/>
        <v/>
      </c>
      <c r="O265" s="33" t="str">
        <f t="shared" si="38"/>
        <v/>
      </c>
      <c r="P265" t="str">
        <f t="shared" si="39"/>
        <v/>
      </c>
      <c r="Q265" s="33" t="str">
        <f t="shared" si="40"/>
        <v/>
      </c>
      <c r="R265" s="39" t="str">
        <f t="shared" si="41"/>
        <v/>
      </c>
    </row>
    <row r="266" spans="6:18" x14ac:dyDescent="0.25">
      <c r="F266" s="35">
        <v>260</v>
      </c>
      <c r="L266" s="33" t="str">
        <f t="shared" si="35"/>
        <v/>
      </c>
      <c r="M266" t="str">
        <f t="shared" si="36"/>
        <v/>
      </c>
      <c r="N266" s="33" t="str">
        <f t="shared" si="37"/>
        <v/>
      </c>
      <c r="O266" s="33" t="str">
        <f t="shared" si="38"/>
        <v/>
      </c>
      <c r="P266" t="str">
        <f t="shared" si="39"/>
        <v/>
      </c>
      <c r="Q266" s="33" t="str">
        <f t="shared" si="40"/>
        <v/>
      </c>
      <c r="R266" s="39" t="str">
        <f t="shared" si="41"/>
        <v/>
      </c>
    </row>
    <row r="267" spans="6:18" x14ac:dyDescent="0.25">
      <c r="F267" s="35">
        <v>261</v>
      </c>
      <c r="L267" s="33" t="str">
        <f t="shared" si="35"/>
        <v/>
      </c>
      <c r="M267" t="str">
        <f t="shared" si="36"/>
        <v/>
      </c>
      <c r="N267" s="33" t="str">
        <f t="shared" si="37"/>
        <v/>
      </c>
      <c r="O267" s="33" t="str">
        <f t="shared" si="38"/>
        <v/>
      </c>
      <c r="P267" t="str">
        <f t="shared" si="39"/>
        <v/>
      </c>
      <c r="Q267" s="33" t="str">
        <f t="shared" si="40"/>
        <v/>
      </c>
      <c r="R267" s="39" t="str">
        <f t="shared" si="41"/>
        <v/>
      </c>
    </row>
    <row r="268" spans="6:18" x14ac:dyDescent="0.25">
      <c r="F268" s="35">
        <v>262</v>
      </c>
      <c r="L268" s="33" t="str">
        <f t="shared" si="35"/>
        <v/>
      </c>
      <c r="M268" t="str">
        <f t="shared" si="36"/>
        <v/>
      </c>
      <c r="N268" s="33" t="str">
        <f t="shared" si="37"/>
        <v/>
      </c>
      <c r="O268" s="33" t="str">
        <f t="shared" si="38"/>
        <v/>
      </c>
      <c r="P268" t="str">
        <f t="shared" si="39"/>
        <v/>
      </c>
      <c r="Q268" s="33" t="str">
        <f t="shared" si="40"/>
        <v/>
      </c>
      <c r="R268" s="39" t="str">
        <f t="shared" si="41"/>
        <v/>
      </c>
    </row>
    <row r="269" spans="6:18" x14ac:dyDescent="0.25">
      <c r="F269" s="35">
        <v>263</v>
      </c>
      <c r="L269" s="33" t="str">
        <f t="shared" si="35"/>
        <v/>
      </c>
      <c r="M269" t="str">
        <f t="shared" si="36"/>
        <v/>
      </c>
      <c r="N269" s="33" t="str">
        <f t="shared" si="37"/>
        <v/>
      </c>
      <c r="O269" s="33" t="str">
        <f t="shared" si="38"/>
        <v/>
      </c>
      <c r="P269" t="str">
        <f t="shared" si="39"/>
        <v/>
      </c>
      <c r="Q269" s="33" t="str">
        <f t="shared" si="40"/>
        <v/>
      </c>
      <c r="R269" s="39" t="str">
        <f t="shared" si="41"/>
        <v/>
      </c>
    </row>
    <row r="270" spans="6:18" x14ac:dyDescent="0.25">
      <c r="F270" s="35">
        <v>264</v>
      </c>
      <c r="L270" s="33" t="str">
        <f t="shared" si="35"/>
        <v/>
      </c>
      <c r="M270" t="str">
        <f t="shared" si="36"/>
        <v/>
      </c>
      <c r="N270" s="33" t="str">
        <f t="shared" si="37"/>
        <v/>
      </c>
      <c r="O270" s="33" t="str">
        <f t="shared" si="38"/>
        <v/>
      </c>
      <c r="P270" t="str">
        <f t="shared" si="39"/>
        <v/>
      </c>
      <c r="Q270" s="33" t="str">
        <f t="shared" si="40"/>
        <v/>
      </c>
      <c r="R270" s="39" t="str">
        <f t="shared" si="41"/>
        <v/>
      </c>
    </row>
    <row r="271" spans="6:18" x14ac:dyDescent="0.25">
      <c r="F271" s="35">
        <v>265</v>
      </c>
      <c r="L271" s="33" t="str">
        <f t="shared" si="35"/>
        <v/>
      </c>
      <c r="M271" t="str">
        <f t="shared" si="36"/>
        <v/>
      </c>
      <c r="N271" s="33" t="str">
        <f t="shared" si="37"/>
        <v/>
      </c>
      <c r="O271" s="33" t="str">
        <f t="shared" si="38"/>
        <v/>
      </c>
      <c r="P271" t="str">
        <f t="shared" si="39"/>
        <v/>
      </c>
      <c r="Q271" s="33" t="str">
        <f t="shared" si="40"/>
        <v/>
      </c>
      <c r="R271" s="39" t="str">
        <f t="shared" si="41"/>
        <v/>
      </c>
    </row>
    <row r="272" spans="6:18" x14ac:dyDescent="0.25">
      <c r="F272" s="35">
        <v>266</v>
      </c>
      <c r="L272" s="33" t="str">
        <f t="shared" si="35"/>
        <v/>
      </c>
      <c r="M272" t="str">
        <f t="shared" si="36"/>
        <v/>
      </c>
      <c r="N272" s="33" t="str">
        <f t="shared" si="37"/>
        <v/>
      </c>
      <c r="O272" s="33" t="str">
        <f t="shared" si="38"/>
        <v/>
      </c>
      <c r="P272" t="str">
        <f t="shared" si="39"/>
        <v/>
      </c>
      <c r="Q272" s="33" t="str">
        <f t="shared" si="40"/>
        <v/>
      </c>
      <c r="R272" s="39" t="str">
        <f t="shared" si="41"/>
        <v/>
      </c>
    </row>
    <row r="273" spans="6:18" x14ac:dyDescent="0.25">
      <c r="F273" s="35">
        <v>267</v>
      </c>
      <c r="L273" s="33" t="str">
        <f t="shared" si="35"/>
        <v/>
      </c>
      <c r="M273" t="str">
        <f t="shared" si="36"/>
        <v/>
      </c>
      <c r="N273" s="33" t="str">
        <f t="shared" si="37"/>
        <v/>
      </c>
      <c r="O273" s="33" t="str">
        <f t="shared" si="38"/>
        <v/>
      </c>
      <c r="P273" t="str">
        <f t="shared" si="39"/>
        <v/>
      </c>
      <c r="Q273" s="33" t="str">
        <f t="shared" si="40"/>
        <v/>
      </c>
      <c r="R273" s="39" t="str">
        <f t="shared" si="41"/>
        <v/>
      </c>
    </row>
    <row r="274" spans="6:18" x14ac:dyDescent="0.25">
      <c r="F274" s="35">
        <v>268</v>
      </c>
      <c r="L274" s="33" t="str">
        <f t="shared" si="35"/>
        <v/>
      </c>
      <c r="M274" t="str">
        <f t="shared" si="36"/>
        <v/>
      </c>
      <c r="N274" s="33" t="str">
        <f t="shared" si="37"/>
        <v/>
      </c>
      <c r="O274" s="33" t="str">
        <f t="shared" si="38"/>
        <v/>
      </c>
      <c r="P274" t="str">
        <f t="shared" si="39"/>
        <v/>
      </c>
      <c r="Q274" s="33" t="str">
        <f t="shared" si="40"/>
        <v/>
      </c>
      <c r="R274" s="39" t="str">
        <f t="shared" si="41"/>
        <v/>
      </c>
    </row>
    <row r="275" spans="6:18" x14ac:dyDescent="0.25">
      <c r="F275" s="35">
        <v>269</v>
      </c>
      <c r="L275" s="33" t="str">
        <f t="shared" si="35"/>
        <v/>
      </c>
      <c r="M275" t="str">
        <f t="shared" si="36"/>
        <v/>
      </c>
      <c r="N275" s="33" t="str">
        <f t="shared" si="37"/>
        <v/>
      </c>
      <c r="O275" s="33" t="str">
        <f t="shared" si="38"/>
        <v/>
      </c>
      <c r="P275" t="str">
        <f t="shared" si="39"/>
        <v/>
      </c>
      <c r="Q275" s="33" t="str">
        <f t="shared" si="40"/>
        <v/>
      </c>
      <c r="R275" s="39" t="str">
        <f t="shared" si="41"/>
        <v/>
      </c>
    </row>
    <row r="276" spans="6:18" x14ac:dyDescent="0.25">
      <c r="F276" s="35">
        <v>270</v>
      </c>
      <c r="L276" s="33" t="str">
        <f t="shared" si="35"/>
        <v/>
      </c>
      <c r="M276" t="str">
        <f t="shared" si="36"/>
        <v/>
      </c>
      <c r="N276" s="33" t="str">
        <f t="shared" si="37"/>
        <v/>
      </c>
      <c r="O276" s="33" t="str">
        <f t="shared" si="38"/>
        <v/>
      </c>
      <c r="P276" t="str">
        <f t="shared" si="39"/>
        <v/>
      </c>
      <c r="Q276" s="33" t="str">
        <f t="shared" si="40"/>
        <v/>
      </c>
      <c r="R276" s="39" t="str">
        <f t="shared" si="41"/>
        <v/>
      </c>
    </row>
    <row r="277" spans="6:18" x14ac:dyDescent="0.25">
      <c r="F277" s="35">
        <v>271</v>
      </c>
      <c r="L277" s="33" t="str">
        <f t="shared" si="35"/>
        <v/>
      </c>
      <c r="M277" t="str">
        <f t="shared" si="36"/>
        <v/>
      </c>
      <c r="N277" s="33" t="str">
        <f t="shared" si="37"/>
        <v/>
      </c>
      <c r="O277" s="33" t="str">
        <f t="shared" si="38"/>
        <v/>
      </c>
      <c r="P277" t="str">
        <f t="shared" si="39"/>
        <v/>
      </c>
      <c r="Q277" s="33" t="str">
        <f t="shared" si="40"/>
        <v/>
      </c>
      <c r="R277" s="39" t="str">
        <f t="shared" si="41"/>
        <v/>
      </c>
    </row>
    <row r="278" spans="6:18" x14ac:dyDescent="0.25">
      <c r="F278" s="35">
        <v>272</v>
      </c>
      <c r="L278" s="33" t="str">
        <f t="shared" si="35"/>
        <v/>
      </c>
      <c r="M278" t="str">
        <f t="shared" si="36"/>
        <v/>
      </c>
      <c r="N278" s="33" t="str">
        <f t="shared" si="37"/>
        <v/>
      </c>
      <c r="O278" s="33" t="str">
        <f t="shared" si="38"/>
        <v/>
      </c>
      <c r="P278" t="str">
        <f t="shared" si="39"/>
        <v/>
      </c>
      <c r="Q278" s="33" t="str">
        <f t="shared" si="40"/>
        <v/>
      </c>
      <c r="R278" s="39" t="str">
        <f t="shared" si="41"/>
        <v/>
      </c>
    </row>
    <row r="279" spans="6:18" x14ac:dyDescent="0.25">
      <c r="F279" s="35">
        <v>273</v>
      </c>
      <c r="L279" s="33" t="str">
        <f t="shared" si="35"/>
        <v/>
      </c>
      <c r="M279" t="str">
        <f t="shared" si="36"/>
        <v/>
      </c>
      <c r="N279" s="33" t="str">
        <f t="shared" si="37"/>
        <v/>
      </c>
      <c r="O279" s="33" t="str">
        <f t="shared" si="38"/>
        <v/>
      </c>
      <c r="P279" t="str">
        <f t="shared" si="39"/>
        <v/>
      </c>
      <c r="Q279" s="33" t="str">
        <f t="shared" si="40"/>
        <v/>
      </c>
      <c r="R279" s="39" t="str">
        <f t="shared" si="41"/>
        <v/>
      </c>
    </row>
    <row r="280" spans="6:18" x14ac:dyDescent="0.25">
      <c r="F280" s="35">
        <v>274</v>
      </c>
      <c r="L280" s="33" t="str">
        <f t="shared" si="35"/>
        <v/>
      </c>
      <c r="M280" t="str">
        <f t="shared" si="36"/>
        <v/>
      </c>
      <c r="N280" s="33" t="str">
        <f t="shared" si="37"/>
        <v/>
      </c>
      <c r="O280" s="33" t="str">
        <f t="shared" si="38"/>
        <v/>
      </c>
      <c r="P280" t="str">
        <f t="shared" si="39"/>
        <v/>
      </c>
      <c r="Q280" s="33" t="str">
        <f t="shared" si="40"/>
        <v/>
      </c>
      <c r="R280" s="39" t="str">
        <f t="shared" si="41"/>
        <v/>
      </c>
    </row>
    <row r="281" spans="6:18" x14ac:dyDescent="0.25">
      <c r="F281" s="35">
        <v>275</v>
      </c>
      <c r="L281" s="33" t="str">
        <f t="shared" si="35"/>
        <v/>
      </c>
      <c r="M281" t="str">
        <f t="shared" si="36"/>
        <v/>
      </c>
      <c r="N281" s="33" t="str">
        <f t="shared" si="37"/>
        <v/>
      </c>
      <c r="O281" s="33" t="str">
        <f t="shared" si="38"/>
        <v/>
      </c>
      <c r="P281" t="str">
        <f t="shared" si="39"/>
        <v/>
      </c>
      <c r="Q281" s="33" t="str">
        <f t="shared" si="40"/>
        <v/>
      </c>
      <c r="R281" s="39" t="str">
        <f t="shared" si="41"/>
        <v/>
      </c>
    </row>
    <row r="282" spans="6:18" x14ac:dyDescent="0.25">
      <c r="F282" s="35">
        <v>276</v>
      </c>
      <c r="L282" s="33" t="str">
        <f t="shared" si="35"/>
        <v/>
      </c>
      <c r="M282" t="str">
        <f t="shared" si="36"/>
        <v/>
      </c>
      <c r="N282" s="33" t="str">
        <f t="shared" si="37"/>
        <v/>
      </c>
      <c r="O282" s="33" t="str">
        <f t="shared" si="38"/>
        <v/>
      </c>
      <c r="P282" t="str">
        <f t="shared" si="39"/>
        <v/>
      </c>
      <c r="Q282" s="33" t="str">
        <f t="shared" si="40"/>
        <v/>
      </c>
      <c r="R282" s="39" t="str">
        <f t="shared" si="41"/>
        <v/>
      </c>
    </row>
    <row r="283" spans="6:18" x14ac:dyDescent="0.25">
      <c r="F283" s="35">
        <v>277</v>
      </c>
      <c r="L283" s="33" t="str">
        <f t="shared" si="35"/>
        <v/>
      </c>
      <c r="M283" t="str">
        <f t="shared" si="36"/>
        <v/>
      </c>
      <c r="N283" s="33" t="str">
        <f t="shared" si="37"/>
        <v/>
      </c>
      <c r="O283" s="33" t="str">
        <f t="shared" si="38"/>
        <v/>
      </c>
      <c r="P283" t="str">
        <f t="shared" si="39"/>
        <v/>
      </c>
      <c r="Q283" s="33" t="str">
        <f t="shared" si="40"/>
        <v/>
      </c>
      <c r="R283" s="39" t="str">
        <f t="shared" si="41"/>
        <v/>
      </c>
    </row>
    <row r="284" spans="6:18" x14ac:dyDescent="0.25">
      <c r="F284" s="35">
        <v>278</v>
      </c>
      <c r="L284" s="33" t="str">
        <f t="shared" si="35"/>
        <v/>
      </c>
      <c r="M284" t="str">
        <f t="shared" si="36"/>
        <v/>
      </c>
      <c r="N284" s="33" t="str">
        <f t="shared" si="37"/>
        <v/>
      </c>
      <c r="O284" s="33" t="str">
        <f t="shared" si="38"/>
        <v/>
      </c>
      <c r="P284" t="str">
        <f t="shared" si="39"/>
        <v/>
      </c>
      <c r="Q284" s="33" t="str">
        <f t="shared" si="40"/>
        <v/>
      </c>
      <c r="R284" s="39" t="str">
        <f t="shared" si="41"/>
        <v/>
      </c>
    </row>
    <row r="285" spans="6:18" x14ac:dyDescent="0.25">
      <c r="F285" s="35">
        <v>279</v>
      </c>
      <c r="L285" s="33" t="str">
        <f t="shared" si="35"/>
        <v/>
      </c>
      <c r="M285" t="str">
        <f t="shared" si="36"/>
        <v/>
      </c>
      <c r="N285" s="33" t="str">
        <f t="shared" si="37"/>
        <v/>
      </c>
      <c r="O285" s="33" t="str">
        <f t="shared" si="38"/>
        <v/>
      </c>
      <c r="P285" t="str">
        <f t="shared" si="39"/>
        <v/>
      </c>
      <c r="Q285" s="33" t="str">
        <f t="shared" si="40"/>
        <v/>
      </c>
      <c r="R285" s="39" t="str">
        <f t="shared" si="41"/>
        <v/>
      </c>
    </row>
    <row r="286" spans="6:18" x14ac:dyDescent="0.25">
      <c r="F286" s="35">
        <v>280</v>
      </c>
      <c r="L286" s="33" t="str">
        <f t="shared" si="35"/>
        <v/>
      </c>
      <c r="M286" t="str">
        <f t="shared" si="36"/>
        <v/>
      </c>
      <c r="N286" s="33" t="str">
        <f t="shared" si="37"/>
        <v/>
      </c>
      <c r="O286" s="33" t="str">
        <f t="shared" si="38"/>
        <v/>
      </c>
      <c r="P286" t="str">
        <f t="shared" si="39"/>
        <v/>
      </c>
      <c r="Q286" s="33" t="str">
        <f t="shared" si="40"/>
        <v/>
      </c>
      <c r="R286" s="39" t="str">
        <f t="shared" si="41"/>
        <v/>
      </c>
    </row>
    <row r="287" spans="6:18" x14ac:dyDescent="0.25">
      <c r="F287" s="35">
        <v>281</v>
      </c>
      <c r="L287" s="33" t="str">
        <f t="shared" si="35"/>
        <v/>
      </c>
      <c r="M287" t="str">
        <f t="shared" si="36"/>
        <v/>
      </c>
      <c r="N287" s="33" t="str">
        <f t="shared" si="37"/>
        <v/>
      </c>
      <c r="O287" s="33" t="str">
        <f t="shared" si="38"/>
        <v/>
      </c>
      <c r="P287" t="str">
        <f t="shared" si="39"/>
        <v/>
      </c>
      <c r="Q287" s="33" t="str">
        <f t="shared" si="40"/>
        <v/>
      </c>
      <c r="R287" s="39" t="str">
        <f t="shared" si="41"/>
        <v/>
      </c>
    </row>
    <row r="288" spans="6:18" x14ac:dyDescent="0.25">
      <c r="F288" s="35">
        <v>282</v>
      </c>
      <c r="L288" s="33" t="str">
        <f t="shared" si="35"/>
        <v/>
      </c>
      <c r="M288" t="str">
        <f t="shared" si="36"/>
        <v/>
      </c>
      <c r="N288" s="33" t="str">
        <f t="shared" si="37"/>
        <v/>
      </c>
      <c r="O288" s="33" t="str">
        <f t="shared" si="38"/>
        <v/>
      </c>
      <c r="P288" t="str">
        <f t="shared" si="39"/>
        <v/>
      </c>
      <c r="Q288" s="33" t="str">
        <f t="shared" si="40"/>
        <v/>
      </c>
      <c r="R288" s="39" t="str">
        <f t="shared" si="41"/>
        <v/>
      </c>
    </row>
    <row r="289" spans="6:18" x14ac:dyDescent="0.25">
      <c r="F289" s="35">
        <v>283</v>
      </c>
      <c r="L289" s="33" t="str">
        <f t="shared" si="35"/>
        <v/>
      </c>
      <c r="M289" t="str">
        <f t="shared" si="36"/>
        <v/>
      </c>
      <c r="N289" s="33" t="str">
        <f t="shared" si="37"/>
        <v/>
      </c>
      <c r="O289" s="33" t="str">
        <f t="shared" si="38"/>
        <v/>
      </c>
      <c r="P289" t="str">
        <f t="shared" si="39"/>
        <v/>
      </c>
      <c r="Q289" s="33" t="str">
        <f t="shared" si="40"/>
        <v/>
      </c>
      <c r="R289" s="39" t="str">
        <f t="shared" si="41"/>
        <v/>
      </c>
    </row>
    <row r="290" spans="6:18" x14ac:dyDescent="0.25">
      <c r="F290" s="35">
        <v>284</v>
      </c>
      <c r="L290" s="33" t="str">
        <f t="shared" si="35"/>
        <v/>
      </c>
      <c r="M290" t="str">
        <f t="shared" si="36"/>
        <v/>
      </c>
      <c r="N290" s="33" t="str">
        <f t="shared" si="37"/>
        <v/>
      </c>
      <c r="O290" s="33" t="str">
        <f t="shared" si="38"/>
        <v/>
      </c>
      <c r="P290" t="str">
        <f t="shared" si="39"/>
        <v/>
      </c>
      <c r="Q290" s="33" t="str">
        <f t="shared" si="40"/>
        <v/>
      </c>
      <c r="R290" s="39" t="str">
        <f t="shared" si="41"/>
        <v/>
      </c>
    </row>
    <row r="291" spans="6:18" x14ac:dyDescent="0.25">
      <c r="F291" s="35">
        <v>285</v>
      </c>
      <c r="L291" s="33" t="str">
        <f t="shared" si="35"/>
        <v/>
      </c>
      <c r="M291" t="str">
        <f t="shared" si="36"/>
        <v/>
      </c>
      <c r="N291" s="33" t="str">
        <f t="shared" si="37"/>
        <v/>
      </c>
      <c r="O291" s="33" t="str">
        <f t="shared" si="38"/>
        <v/>
      </c>
      <c r="P291" t="str">
        <f t="shared" si="39"/>
        <v/>
      </c>
      <c r="Q291" s="33" t="str">
        <f t="shared" si="40"/>
        <v/>
      </c>
      <c r="R291" s="39" t="str">
        <f t="shared" si="41"/>
        <v/>
      </c>
    </row>
    <row r="292" spans="6:18" x14ac:dyDescent="0.25">
      <c r="F292" s="35">
        <v>286</v>
      </c>
      <c r="L292" s="33" t="str">
        <f t="shared" si="35"/>
        <v/>
      </c>
      <c r="M292" t="str">
        <f t="shared" si="36"/>
        <v/>
      </c>
      <c r="N292" s="33" t="str">
        <f t="shared" si="37"/>
        <v/>
      </c>
      <c r="O292" s="33" t="str">
        <f t="shared" si="38"/>
        <v/>
      </c>
      <c r="P292" t="str">
        <f t="shared" si="39"/>
        <v/>
      </c>
      <c r="Q292" s="33" t="str">
        <f t="shared" si="40"/>
        <v/>
      </c>
      <c r="R292" s="39" t="str">
        <f t="shared" si="41"/>
        <v/>
      </c>
    </row>
    <row r="293" spans="6:18" x14ac:dyDescent="0.25">
      <c r="F293" s="35">
        <v>287</v>
      </c>
      <c r="L293" s="33" t="str">
        <f t="shared" si="35"/>
        <v/>
      </c>
      <c r="M293" t="str">
        <f t="shared" si="36"/>
        <v/>
      </c>
      <c r="N293" s="33" t="str">
        <f t="shared" si="37"/>
        <v/>
      </c>
      <c r="O293" s="33" t="str">
        <f t="shared" si="38"/>
        <v/>
      </c>
      <c r="P293" t="str">
        <f t="shared" si="39"/>
        <v/>
      </c>
      <c r="Q293" s="33" t="str">
        <f t="shared" si="40"/>
        <v/>
      </c>
      <c r="R293" s="39" t="str">
        <f t="shared" si="41"/>
        <v/>
      </c>
    </row>
    <row r="294" spans="6:18" x14ac:dyDescent="0.25">
      <c r="F294" s="35">
        <v>288</v>
      </c>
      <c r="L294" s="33" t="str">
        <f t="shared" si="35"/>
        <v/>
      </c>
      <c r="M294" t="str">
        <f t="shared" si="36"/>
        <v/>
      </c>
      <c r="N294" s="33" t="str">
        <f t="shared" si="37"/>
        <v/>
      </c>
      <c r="O294" s="33" t="str">
        <f t="shared" si="38"/>
        <v/>
      </c>
      <c r="P294" t="str">
        <f t="shared" si="39"/>
        <v/>
      </c>
      <c r="Q294" s="33" t="str">
        <f t="shared" si="40"/>
        <v/>
      </c>
      <c r="R294" s="39" t="str">
        <f t="shared" si="41"/>
        <v/>
      </c>
    </row>
    <row r="295" spans="6:18" x14ac:dyDescent="0.25">
      <c r="F295" s="35">
        <v>289</v>
      </c>
      <c r="L295" s="33" t="str">
        <f t="shared" si="35"/>
        <v/>
      </c>
      <c r="M295" t="str">
        <f t="shared" si="36"/>
        <v/>
      </c>
      <c r="N295" s="33" t="str">
        <f t="shared" si="37"/>
        <v/>
      </c>
      <c r="O295" s="33" t="str">
        <f t="shared" si="38"/>
        <v/>
      </c>
      <c r="P295" t="str">
        <f t="shared" si="39"/>
        <v/>
      </c>
      <c r="Q295" s="33" t="str">
        <f t="shared" si="40"/>
        <v/>
      </c>
      <c r="R295" s="39" t="str">
        <f t="shared" si="41"/>
        <v/>
      </c>
    </row>
    <row r="296" spans="6:18" x14ac:dyDescent="0.25">
      <c r="F296" s="35">
        <v>290</v>
      </c>
      <c r="L296" s="33" t="str">
        <f t="shared" si="35"/>
        <v/>
      </c>
      <c r="M296" t="str">
        <f t="shared" si="36"/>
        <v/>
      </c>
      <c r="N296" s="33" t="str">
        <f t="shared" si="37"/>
        <v/>
      </c>
      <c r="O296" s="33" t="str">
        <f t="shared" si="38"/>
        <v/>
      </c>
      <c r="P296" t="str">
        <f t="shared" si="39"/>
        <v/>
      </c>
      <c r="Q296" s="33" t="str">
        <f t="shared" si="40"/>
        <v/>
      </c>
      <c r="R296" s="39" t="str">
        <f t="shared" si="41"/>
        <v/>
      </c>
    </row>
    <row r="297" spans="6:18" x14ac:dyDescent="0.25">
      <c r="F297" s="35">
        <v>291</v>
      </c>
      <c r="L297" s="33" t="str">
        <f t="shared" si="35"/>
        <v/>
      </c>
      <c r="M297" t="str">
        <f t="shared" si="36"/>
        <v/>
      </c>
      <c r="N297" s="33" t="str">
        <f t="shared" si="37"/>
        <v/>
      </c>
      <c r="O297" s="33" t="str">
        <f t="shared" si="38"/>
        <v/>
      </c>
      <c r="P297" t="str">
        <f t="shared" si="39"/>
        <v/>
      </c>
      <c r="Q297" s="33" t="str">
        <f t="shared" si="40"/>
        <v/>
      </c>
      <c r="R297" s="39" t="str">
        <f t="shared" si="41"/>
        <v/>
      </c>
    </row>
    <row r="298" spans="6:18" x14ac:dyDescent="0.25">
      <c r="F298" s="35">
        <v>292</v>
      </c>
      <c r="L298" s="33" t="str">
        <f t="shared" si="35"/>
        <v/>
      </c>
      <c r="M298" t="str">
        <f t="shared" si="36"/>
        <v/>
      </c>
      <c r="N298" s="33" t="str">
        <f t="shared" si="37"/>
        <v/>
      </c>
      <c r="O298" s="33" t="str">
        <f t="shared" si="38"/>
        <v/>
      </c>
      <c r="P298" t="str">
        <f t="shared" si="39"/>
        <v/>
      </c>
      <c r="Q298" s="33" t="str">
        <f t="shared" si="40"/>
        <v/>
      </c>
      <c r="R298" s="39" t="str">
        <f t="shared" si="41"/>
        <v/>
      </c>
    </row>
    <row r="299" spans="6:18" x14ac:dyDescent="0.25">
      <c r="F299" s="35">
        <v>293</v>
      </c>
      <c r="L299" s="33" t="str">
        <f t="shared" si="35"/>
        <v/>
      </c>
      <c r="M299" t="str">
        <f t="shared" si="36"/>
        <v/>
      </c>
      <c r="N299" s="33" t="str">
        <f t="shared" si="37"/>
        <v/>
      </c>
      <c r="O299" s="33" t="str">
        <f t="shared" si="38"/>
        <v/>
      </c>
      <c r="P299" t="str">
        <f t="shared" si="39"/>
        <v/>
      </c>
      <c r="Q299" s="33" t="str">
        <f t="shared" si="40"/>
        <v/>
      </c>
      <c r="R299" s="39" t="str">
        <f t="shared" si="41"/>
        <v/>
      </c>
    </row>
    <row r="300" spans="6:18" x14ac:dyDescent="0.25">
      <c r="F300" s="35">
        <v>294</v>
      </c>
      <c r="L300" s="33" t="str">
        <f t="shared" si="35"/>
        <v/>
      </c>
      <c r="M300" t="str">
        <f t="shared" si="36"/>
        <v/>
      </c>
      <c r="N300" s="33" t="str">
        <f t="shared" si="37"/>
        <v/>
      </c>
      <c r="O300" s="33" t="str">
        <f t="shared" si="38"/>
        <v/>
      </c>
      <c r="P300" t="str">
        <f t="shared" si="39"/>
        <v/>
      </c>
      <c r="Q300" s="33" t="str">
        <f t="shared" si="40"/>
        <v/>
      </c>
      <c r="R300" s="39" t="str">
        <f t="shared" si="41"/>
        <v/>
      </c>
    </row>
    <row r="301" spans="6:18" x14ac:dyDescent="0.25">
      <c r="F301" s="35">
        <v>295</v>
      </c>
      <c r="L301" s="33" t="str">
        <f t="shared" si="35"/>
        <v/>
      </c>
      <c r="M301" t="str">
        <f t="shared" si="36"/>
        <v/>
      </c>
      <c r="N301" s="33" t="str">
        <f t="shared" si="37"/>
        <v/>
      </c>
      <c r="O301" s="33" t="str">
        <f t="shared" si="38"/>
        <v/>
      </c>
      <c r="P301" t="str">
        <f t="shared" si="39"/>
        <v/>
      </c>
      <c r="Q301" s="33" t="str">
        <f t="shared" si="40"/>
        <v/>
      </c>
      <c r="R301" s="39" t="str">
        <f t="shared" si="41"/>
        <v/>
      </c>
    </row>
    <row r="302" spans="6:18" x14ac:dyDescent="0.25">
      <c r="F302" s="35">
        <v>296</v>
      </c>
      <c r="L302" s="33" t="str">
        <f t="shared" si="35"/>
        <v/>
      </c>
      <c r="M302" t="str">
        <f t="shared" si="36"/>
        <v/>
      </c>
      <c r="N302" s="33" t="str">
        <f t="shared" si="37"/>
        <v/>
      </c>
      <c r="O302" s="33" t="str">
        <f t="shared" si="38"/>
        <v/>
      </c>
      <c r="P302" t="str">
        <f t="shared" si="39"/>
        <v/>
      </c>
      <c r="Q302" s="33" t="str">
        <f t="shared" si="40"/>
        <v/>
      </c>
      <c r="R302" s="39" t="str">
        <f t="shared" si="41"/>
        <v/>
      </c>
    </row>
    <row r="303" spans="6:18" x14ac:dyDescent="0.25">
      <c r="F303" s="35">
        <v>297</v>
      </c>
      <c r="L303" s="33" t="str">
        <f t="shared" si="35"/>
        <v/>
      </c>
      <c r="M303" t="str">
        <f t="shared" si="36"/>
        <v/>
      </c>
      <c r="N303" s="33" t="str">
        <f t="shared" si="37"/>
        <v/>
      </c>
      <c r="O303" s="33" t="str">
        <f t="shared" si="38"/>
        <v/>
      </c>
      <c r="P303" t="str">
        <f t="shared" si="39"/>
        <v/>
      </c>
      <c r="Q303" s="33" t="str">
        <f t="shared" si="40"/>
        <v/>
      </c>
      <c r="R303" s="39" t="str">
        <f t="shared" si="41"/>
        <v/>
      </c>
    </row>
    <row r="304" spans="6:18" x14ac:dyDescent="0.25">
      <c r="F304" s="35">
        <v>298</v>
      </c>
      <c r="L304" s="33" t="str">
        <f t="shared" si="35"/>
        <v/>
      </c>
      <c r="M304" t="str">
        <f t="shared" si="36"/>
        <v/>
      </c>
      <c r="N304" s="33" t="str">
        <f t="shared" si="37"/>
        <v/>
      </c>
      <c r="O304" s="33" t="str">
        <f t="shared" si="38"/>
        <v/>
      </c>
      <c r="P304" t="str">
        <f t="shared" si="39"/>
        <v/>
      </c>
      <c r="Q304" s="33" t="str">
        <f t="shared" si="40"/>
        <v/>
      </c>
      <c r="R304" s="39" t="str">
        <f t="shared" si="41"/>
        <v/>
      </c>
    </row>
    <row r="305" spans="6:18" x14ac:dyDescent="0.25">
      <c r="F305" s="35">
        <v>299</v>
      </c>
      <c r="L305" s="33" t="str">
        <f t="shared" si="35"/>
        <v/>
      </c>
      <c r="M305" t="str">
        <f t="shared" si="36"/>
        <v/>
      </c>
      <c r="N305" s="33" t="str">
        <f t="shared" si="37"/>
        <v/>
      </c>
      <c r="O305" s="33" t="str">
        <f t="shared" si="38"/>
        <v/>
      </c>
      <c r="P305" t="str">
        <f t="shared" si="39"/>
        <v/>
      </c>
      <c r="Q305" s="33" t="str">
        <f t="shared" si="40"/>
        <v/>
      </c>
      <c r="R305" s="39" t="str">
        <f t="shared" si="41"/>
        <v/>
      </c>
    </row>
    <row r="306" spans="6:18" x14ac:dyDescent="0.25">
      <c r="F306" s="35">
        <v>300</v>
      </c>
      <c r="L306" s="33" t="str">
        <f t="shared" si="35"/>
        <v/>
      </c>
      <c r="M306" t="str">
        <f t="shared" si="36"/>
        <v/>
      </c>
      <c r="N306" s="33" t="str">
        <f t="shared" si="37"/>
        <v/>
      </c>
      <c r="O306" s="33" t="str">
        <f t="shared" si="38"/>
        <v/>
      </c>
      <c r="P306" t="str">
        <f t="shared" si="39"/>
        <v/>
      </c>
      <c r="Q306" s="33" t="str">
        <f t="shared" si="40"/>
        <v/>
      </c>
      <c r="R306" s="39" t="str">
        <f t="shared" si="41"/>
        <v/>
      </c>
    </row>
    <row r="307" spans="6:18" x14ac:dyDescent="0.25">
      <c r="F307" s="35">
        <v>301</v>
      </c>
      <c r="L307" s="33" t="str">
        <f t="shared" si="35"/>
        <v/>
      </c>
      <c r="M307" t="str">
        <f t="shared" si="36"/>
        <v/>
      </c>
      <c r="N307" s="33" t="str">
        <f t="shared" si="37"/>
        <v/>
      </c>
      <c r="O307" s="33" t="str">
        <f t="shared" si="38"/>
        <v/>
      </c>
      <c r="P307" t="str">
        <f t="shared" si="39"/>
        <v/>
      </c>
      <c r="Q307" s="33" t="str">
        <f t="shared" si="40"/>
        <v/>
      </c>
      <c r="R307" s="39" t="str">
        <f t="shared" si="41"/>
        <v/>
      </c>
    </row>
    <row r="308" spans="6:18" x14ac:dyDescent="0.25">
      <c r="F308" s="35">
        <v>302</v>
      </c>
      <c r="L308" s="33" t="str">
        <f t="shared" si="35"/>
        <v/>
      </c>
      <c r="M308" t="str">
        <f t="shared" si="36"/>
        <v/>
      </c>
      <c r="N308" s="33" t="str">
        <f t="shared" si="37"/>
        <v/>
      </c>
      <c r="O308" s="33" t="str">
        <f t="shared" si="38"/>
        <v/>
      </c>
      <c r="P308" t="str">
        <f t="shared" si="39"/>
        <v/>
      </c>
      <c r="Q308" s="33" t="str">
        <f t="shared" si="40"/>
        <v/>
      </c>
      <c r="R308" s="39" t="str">
        <f t="shared" si="41"/>
        <v/>
      </c>
    </row>
    <row r="309" spans="6:18" x14ac:dyDescent="0.25">
      <c r="F309" s="35">
        <v>303</v>
      </c>
      <c r="L309" s="33" t="str">
        <f t="shared" si="35"/>
        <v/>
      </c>
      <c r="M309" t="str">
        <f t="shared" si="36"/>
        <v/>
      </c>
      <c r="N309" s="33" t="str">
        <f t="shared" si="37"/>
        <v/>
      </c>
      <c r="O309" s="33" t="str">
        <f t="shared" si="38"/>
        <v/>
      </c>
      <c r="P309" t="str">
        <f t="shared" si="39"/>
        <v/>
      </c>
      <c r="Q309" s="33" t="str">
        <f t="shared" si="40"/>
        <v/>
      </c>
      <c r="R309" s="39" t="str">
        <f t="shared" si="41"/>
        <v/>
      </c>
    </row>
    <row r="310" spans="6:18" x14ac:dyDescent="0.25">
      <c r="F310" s="35">
        <v>304</v>
      </c>
      <c r="L310" s="33" t="str">
        <f t="shared" si="35"/>
        <v/>
      </c>
      <c r="M310" t="str">
        <f t="shared" si="36"/>
        <v/>
      </c>
      <c r="N310" s="33" t="str">
        <f t="shared" si="37"/>
        <v/>
      </c>
      <c r="O310" s="33" t="str">
        <f t="shared" si="38"/>
        <v/>
      </c>
      <c r="P310" t="str">
        <f t="shared" si="39"/>
        <v/>
      </c>
      <c r="Q310" s="33" t="str">
        <f t="shared" si="40"/>
        <v/>
      </c>
      <c r="R310" s="39" t="str">
        <f t="shared" si="41"/>
        <v/>
      </c>
    </row>
    <row r="311" spans="6:18" x14ac:dyDescent="0.25">
      <c r="F311" s="35">
        <v>305</v>
      </c>
      <c r="L311" s="33" t="str">
        <f t="shared" si="35"/>
        <v/>
      </c>
      <c r="M311" t="str">
        <f t="shared" si="36"/>
        <v/>
      </c>
      <c r="N311" s="33" t="str">
        <f t="shared" si="37"/>
        <v/>
      </c>
      <c r="O311" s="33" t="str">
        <f t="shared" si="38"/>
        <v/>
      </c>
      <c r="P311" t="str">
        <f t="shared" si="39"/>
        <v/>
      </c>
      <c r="Q311" s="33" t="str">
        <f t="shared" si="40"/>
        <v/>
      </c>
      <c r="R311" s="39" t="str">
        <f t="shared" si="41"/>
        <v/>
      </c>
    </row>
    <row r="312" spans="6:18" x14ac:dyDescent="0.25">
      <c r="F312" s="35">
        <v>306</v>
      </c>
      <c r="L312" s="33" t="str">
        <f t="shared" si="35"/>
        <v/>
      </c>
      <c r="M312" t="str">
        <f t="shared" si="36"/>
        <v/>
      </c>
      <c r="N312" s="33" t="str">
        <f t="shared" si="37"/>
        <v/>
      </c>
      <c r="O312" s="33" t="str">
        <f t="shared" si="38"/>
        <v/>
      </c>
      <c r="P312" t="str">
        <f t="shared" si="39"/>
        <v/>
      </c>
      <c r="Q312" s="33" t="str">
        <f t="shared" si="40"/>
        <v/>
      </c>
      <c r="R312" s="39" t="str">
        <f t="shared" si="41"/>
        <v/>
      </c>
    </row>
    <row r="313" spans="6:18" x14ac:dyDescent="0.25">
      <c r="F313" s="35">
        <v>307</v>
      </c>
      <c r="L313" s="33" t="str">
        <f t="shared" si="35"/>
        <v/>
      </c>
      <c r="M313" t="str">
        <f t="shared" si="36"/>
        <v/>
      </c>
      <c r="N313" s="33" t="str">
        <f t="shared" si="37"/>
        <v/>
      </c>
      <c r="O313" s="33" t="str">
        <f t="shared" si="38"/>
        <v/>
      </c>
      <c r="P313" t="str">
        <f t="shared" si="39"/>
        <v/>
      </c>
      <c r="Q313" s="33" t="str">
        <f t="shared" si="40"/>
        <v/>
      </c>
      <c r="R313" s="39" t="str">
        <f t="shared" si="41"/>
        <v/>
      </c>
    </row>
    <row r="314" spans="6:18" x14ac:dyDescent="0.25">
      <c r="F314" s="35">
        <v>308</v>
      </c>
      <c r="L314" s="33" t="str">
        <f t="shared" si="35"/>
        <v/>
      </c>
      <c r="M314" t="str">
        <f t="shared" si="36"/>
        <v/>
      </c>
      <c r="N314" s="33" t="str">
        <f t="shared" si="37"/>
        <v/>
      </c>
      <c r="O314" s="33" t="str">
        <f t="shared" si="38"/>
        <v/>
      </c>
      <c r="P314" t="str">
        <f t="shared" si="39"/>
        <v/>
      </c>
      <c r="Q314" s="33" t="str">
        <f t="shared" si="40"/>
        <v/>
      </c>
      <c r="R314" s="39" t="str">
        <f t="shared" si="41"/>
        <v/>
      </c>
    </row>
    <row r="315" spans="6:18" x14ac:dyDescent="0.25">
      <c r="F315" s="35">
        <v>309</v>
      </c>
      <c r="L315" s="33" t="str">
        <f t="shared" si="35"/>
        <v/>
      </c>
      <c r="M315" t="str">
        <f t="shared" si="36"/>
        <v/>
      </c>
      <c r="N315" s="33" t="str">
        <f t="shared" si="37"/>
        <v/>
      </c>
      <c r="O315" s="33" t="str">
        <f t="shared" si="38"/>
        <v/>
      </c>
      <c r="P315" t="str">
        <f t="shared" si="39"/>
        <v/>
      </c>
      <c r="Q315" s="33" t="str">
        <f t="shared" si="40"/>
        <v/>
      </c>
      <c r="R315" s="39" t="str">
        <f t="shared" si="41"/>
        <v/>
      </c>
    </row>
    <row r="316" spans="6:18" x14ac:dyDescent="0.25">
      <c r="F316" s="35">
        <v>310</v>
      </c>
      <c r="L316" s="33" t="str">
        <f t="shared" si="35"/>
        <v/>
      </c>
      <c r="M316" t="str">
        <f t="shared" si="36"/>
        <v/>
      </c>
      <c r="N316" s="33" t="str">
        <f t="shared" si="37"/>
        <v/>
      </c>
      <c r="O316" s="33" t="str">
        <f t="shared" si="38"/>
        <v/>
      </c>
      <c r="P316" t="str">
        <f t="shared" si="39"/>
        <v/>
      </c>
      <c r="Q316" s="33" t="str">
        <f t="shared" si="40"/>
        <v/>
      </c>
      <c r="R316" s="39" t="str">
        <f t="shared" si="41"/>
        <v/>
      </c>
    </row>
    <row r="317" spans="6:18" x14ac:dyDescent="0.25">
      <c r="F317" s="35">
        <v>311</v>
      </c>
      <c r="L317" s="33" t="str">
        <f t="shared" si="35"/>
        <v/>
      </c>
      <c r="M317" t="str">
        <f t="shared" si="36"/>
        <v/>
      </c>
      <c r="N317" s="33" t="str">
        <f t="shared" si="37"/>
        <v/>
      </c>
      <c r="O317" s="33" t="str">
        <f t="shared" si="38"/>
        <v/>
      </c>
      <c r="P317" t="str">
        <f t="shared" si="39"/>
        <v/>
      </c>
      <c r="Q317" s="33" t="str">
        <f t="shared" si="40"/>
        <v/>
      </c>
      <c r="R317" s="39" t="str">
        <f t="shared" si="41"/>
        <v/>
      </c>
    </row>
    <row r="318" spans="6:18" x14ac:dyDescent="0.25">
      <c r="F318" s="35">
        <v>312</v>
      </c>
      <c r="L318" s="33" t="str">
        <f t="shared" si="35"/>
        <v/>
      </c>
      <c r="M318" t="str">
        <f t="shared" si="36"/>
        <v/>
      </c>
      <c r="N318" s="33" t="str">
        <f t="shared" si="37"/>
        <v/>
      </c>
      <c r="O318" s="33" t="str">
        <f t="shared" si="38"/>
        <v/>
      </c>
      <c r="P318" t="str">
        <f t="shared" si="39"/>
        <v/>
      </c>
      <c r="Q318" s="33" t="str">
        <f t="shared" si="40"/>
        <v/>
      </c>
      <c r="R318" s="39" t="str">
        <f t="shared" si="41"/>
        <v/>
      </c>
    </row>
    <row r="319" spans="6:18" x14ac:dyDescent="0.25">
      <c r="F319" s="35">
        <v>313</v>
      </c>
      <c r="L319" s="33" t="str">
        <f t="shared" si="35"/>
        <v/>
      </c>
      <c r="M319" t="str">
        <f t="shared" si="36"/>
        <v/>
      </c>
      <c r="N319" s="33" t="str">
        <f t="shared" si="37"/>
        <v/>
      </c>
      <c r="O319" s="33" t="str">
        <f t="shared" si="38"/>
        <v/>
      </c>
      <c r="P319" t="str">
        <f t="shared" si="39"/>
        <v/>
      </c>
      <c r="Q319" s="33" t="str">
        <f t="shared" si="40"/>
        <v/>
      </c>
      <c r="R319" s="39" t="str">
        <f t="shared" si="41"/>
        <v/>
      </c>
    </row>
    <row r="320" spans="6:18" x14ac:dyDescent="0.25">
      <c r="F320" s="35">
        <v>314</v>
      </c>
      <c r="L320" s="33" t="str">
        <f t="shared" si="35"/>
        <v/>
      </c>
      <c r="M320" t="str">
        <f t="shared" si="36"/>
        <v/>
      </c>
      <c r="N320" s="33" t="str">
        <f t="shared" si="37"/>
        <v/>
      </c>
      <c r="O320" s="33" t="str">
        <f t="shared" si="38"/>
        <v/>
      </c>
      <c r="P320" t="str">
        <f t="shared" si="39"/>
        <v/>
      </c>
      <c r="Q320" s="33" t="str">
        <f t="shared" si="40"/>
        <v/>
      </c>
      <c r="R320" s="39" t="str">
        <f t="shared" si="41"/>
        <v/>
      </c>
    </row>
    <row r="321" spans="6:18" x14ac:dyDescent="0.25">
      <c r="F321" s="35">
        <v>315</v>
      </c>
      <c r="L321" s="33" t="str">
        <f t="shared" si="35"/>
        <v/>
      </c>
      <c r="M321" t="str">
        <f t="shared" si="36"/>
        <v/>
      </c>
      <c r="N321" s="33" t="str">
        <f t="shared" si="37"/>
        <v/>
      </c>
      <c r="O321" s="33" t="str">
        <f t="shared" si="38"/>
        <v/>
      </c>
      <c r="P321" t="str">
        <f t="shared" si="39"/>
        <v/>
      </c>
      <c r="Q321" s="33" t="str">
        <f t="shared" si="40"/>
        <v/>
      </c>
      <c r="R321" s="39" t="str">
        <f t="shared" si="41"/>
        <v/>
      </c>
    </row>
    <row r="322" spans="6:18" x14ac:dyDescent="0.25">
      <c r="F322" s="35">
        <v>316</v>
      </c>
      <c r="L322" s="33" t="str">
        <f t="shared" si="35"/>
        <v/>
      </c>
      <c r="M322" t="str">
        <f t="shared" si="36"/>
        <v/>
      </c>
      <c r="N322" s="33" t="str">
        <f t="shared" si="37"/>
        <v/>
      </c>
      <c r="O322" s="33" t="str">
        <f t="shared" si="38"/>
        <v/>
      </c>
      <c r="P322" t="str">
        <f t="shared" si="39"/>
        <v/>
      </c>
      <c r="Q322" s="33" t="str">
        <f t="shared" si="40"/>
        <v/>
      </c>
      <c r="R322" s="39" t="str">
        <f t="shared" si="41"/>
        <v/>
      </c>
    </row>
    <row r="323" spans="6:18" x14ac:dyDescent="0.25">
      <c r="F323" s="35">
        <v>317</v>
      </c>
      <c r="L323" s="33" t="str">
        <f t="shared" si="35"/>
        <v/>
      </c>
      <c r="M323" t="str">
        <f t="shared" si="36"/>
        <v/>
      </c>
      <c r="N323" s="33" t="str">
        <f t="shared" si="37"/>
        <v/>
      </c>
      <c r="O323" s="33" t="str">
        <f t="shared" si="38"/>
        <v/>
      </c>
      <c r="P323" t="str">
        <f t="shared" si="39"/>
        <v/>
      </c>
      <c r="Q323" s="33" t="str">
        <f t="shared" si="40"/>
        <v/>
      </c>
      <c r="R323" s="39" t="str">
        <f t="shared" si="41"/>
        <v/>
      </c>
    </row>
    <row r="324" spans="6:18" x14ac:dyDescent="0.25">
      <c r="F324" s="35">
        <v>318</v>
      </c>
      <c r="L324" s="33" t="str">
        <f t="shared" si="35"/>
        <v/>
      </c>
      <c r="M324" t="str">
        <f t="shared" si="36"/>
        <v/>
      </c>
      <c r="N324" s="33" t="str">
        <f t="shared" si="37"/>
        <v/>
      </c>
      <c r="O324" s="33" t="str">
        <f t="shared" si="38"/>
        <v/>
      </c>
      <c r="P324" t="str">
        <f t="shared" si="39"/>
        <v/>
      </c>
      <c r="Q324" s="33" t="str">
        <f t="shared" si="40"/>
        <v/>
      </c>
      <c r="R324" s="39" t="str">
        <f t="shared" si="41"/>
        <v/>
      </c>
    </row>
    <row r="325" spans="6:18" x14ac:dyDescent="0.25">
      <c r="F325" s="35">
        <v>319</v>
      </c>
      <c r="L325" s="33" t="str">
        <f t="shared" si="35"/>
        <v/>
      </c>
      <c r="M325" t="str">
        <f t="shared" si="36"/>
        <v/>
      </c>
      <c r="N325" s="33" t="str">
        <f t="shared" si="37"/>
        <v/>
      </c>
      <c r="O325" s="33" t="str">
        <f t="shared" si="38"/>
        <v/>
      </c>
      <c r="P325" t="str">
        <f t="shared" si="39"/>
        <v/>
      </c>
      <c r="Q325" s="33" t="str">
        <f t="shared" si="40"/>
        <v/>
      </c>
      <c r="R325" s="39" t="str">
        <f t="shared" si="41"/>
        <v/>
      </c>
    </row>
    <row r="326" spans="6:18" x14ac:dyDescent="0.25">
      <c r="F326" s="35">
        <v>320</v>
      </c>
      <c r="L326" s="33" t="str">
        <f t="shared" si="35"/>
        <v/>
      </c>
      <c r="M326" t="str">
        <f t="shared" si="36"/>
        <v/>
      </c>
      <c r="N326" s="33" t="str">
        <f t="shared" si="37"/>
        <v/>
      </c>
      <c r="O326" s="33" t="str">
        <f t="shared" si="38"/>
        <v/>
      </c>
      <c r="P326" t="str">
        <f t="shared" si="39"/>
        <v/>
      </c>
      <c r="Q326" s="33" t="str">
        <f t="shared" si="40"/>
        <v/>
      </c>
      <c r="R326" s="39" t="str">
        <f t="shared" si="41"/>
        <v/>
      </c>
    </row>
    <row r="327" spans="6:18" x14ac:dyDescent="0.25">
      <c r="F327" s="35">
        <v>321</v>
      </c>
      <c r="L327" s="33" t="str">
        <f t="shared" si="35"/>
        <v/>
      </c>
      <c r="M327" t="str">
        <f t="shared" si="36"/>
        <v/>
      </c>
      <c r="N327" s="33" t="str">
        <f t="shared" si="37"/>
        <v/>
      </c>
      <c r="O327" s="33" t="str">
        <f t="shared" si="38"/>
        <v/>
      </c>
      <c r="P327" t="str">
        <f t="shared" si="39"/>
        <v/>
      </c>
      <c r="Q327" s="33" t="str">
        <f t="shared" si="40"/>
        <v/>
      </c>
      <c r="R327" s="39" t="str">
        <f t="shared" si="41"/>
        <v/>
      </c>
    </row>
    <row r="328" spans="6:18" x14ac:dyDescent="0.25">
      <c r="F328" s="35">
        <v>322</v>
      </c>
      <c r="L328" s="33" t="str">
        <f t="shared" ref="L328:L391" si="42">IF(G328="","",$C$4*$C$6*$C$7/360)</f>
        <v/>
      </c>
      <c r="M328" t="str">
        <f t="shared" ref="M328:M391" si="43">IF(G328="","",IF(H328=$G$2,100,0))</f>
        <v/>
      </c>
      <c r="N328" s="33" t="str">
        <f t="shared" ref="N328:N391" si="44">IF(G328="","",L328+M328)</f>
        <v/>
      </c>
      <c r="O328" s="33" t="str">
        <f t="shared" ref="O328:O391" si="45">IF(G328="","",1/(1+$C$5*K328/360)^(J328/K328))</f>
        <v/>
      </c>
      <c r="P328" t="str">
        <f t="shared" ref="P328:P391" si="46">IF(G328="","",H328-$C$12)</f>
        <v/>
      </c>
      <c r="Q328" s="33" t="str">
        <f t="shared" ref="Q328:Q391" si="47">IF(G328="","",(P328/K328))</f>
        <v/>
      </c>
      <c r="R328" s="39" t="str">
        <f t="shared" ref="R328:R391" si="48">IF(G328="","",N328*O328)</f>
        <v/>
      </c>
    </row>
    <row r="329" spans="6:18" x14ac:dyDescent="0.25">
      <c r="F329" s="35">
        <v>323</v>
      </c>
      <c r="L329" s="33" t="str">
        <f t="shared" si="42"/>
        <v/>
      </c>
      <c r="M329" t="str">
        <f t="shared" si="43"/>
        <v/>
      </c>
      <c r="N329" s="33" t="str">
        <f t="shared" si="44"/>
        <v/>
      </c>
      <c r="O329" s="33" t="str">
        <f t="shared" si="45"/>
        <v/>
      </c>
      <c r="P329" t="str">
        <f t="shared" si="46"/>
        <v/>
      </c>
      <c r="Q329" s="33" t="str">
        <f t="shared" si="47"/>
        <v/>
      </c>
      <c r="R329" s="39" t="str">
        <f t="shared" si="48"/>
        <v/>
      </c>
    </row>
    <row r="330" spans="6:18" x14ac:dyDescent="0.25">
      <c r="F330" s="35">
        <v>324</v>
      </c>
      <c r="L330" s="33" t="str">
        <f t="shared" si="42"/>
        <v/>
      </c>
      <c r="M330" t="str">
        <f t="shared" si="43"/>
        <v/>
      </c>
      <c r="N330" s="33" t="str">
        <f t="shared" si="44"/>
        <v/>
      </c>
      <c r="O330" s="33" t="str">
        <f t="shared" si="45"/>
        <v/>
      </c>
      <c r="P330" t="str">
        <f t="shared" si="46"/>
        <v/>
      </c>
      <c r="Q330" s="33" t="str">
        <f t="shared" si="47"/>
        <v/>
      </c>
      <c r="R330" s="39" t="str">
        <f t="shared" si="48"/>
        <v/>
      </c>
    </row>
    <row r="331" spans="6:18" x14ac:dyDescent="0.25">
      <c r="F331" s="35">
        <v>325</v>
      </c>
      <c r="L331" s="33" t="str">
        <f t="shared" si="42"/>
        <v/>
      </c>
      <c r="M331" t="str">
        <f t="shared" si="43"/>
        <v/>
      </c>
      <c r="N331" s="33" t="str">
        <f t="shared" si="44"/>
        <v/>
      </c>
      <c r="O331" s="33" t="str">
        <f t="shared" si="45"/>
        <v/>
      </c>
      <c r="P331" t="str">
        <f t="shared" si="46"/>
        <v/>
      </c>
      <c r="Q331" s="33" t="str">
        <f t="shared" si="47"/>
        <v/>
      </c>
      <c r="R331" s="39" t="str">
        <f t="shared" si="48"/>
        <v/>
      </c>
    </row>
    <row r="332" spans="6:18" x14ac:dyDescent="0.25">
      <c r="F332" s="35">
        <v>326</v>
      </c>
      <c r="L332" s="33" t="str">
        <f t="shared" si="42"/>
        <v/>
      </c>
      <c r="M332" t="str">
        <f t="shared" si="43"/>
        <v/>
      </c>
      <c r="N332" s="33" t="str">
        <f t="shared" si="44"/>
        <v/>
      </c>
      <c r="O332" s="33" t="str">
        <f t="shared" si="45"/>
        <v/>
      </c>
      <c r="P332" t="str">
        <f t="shared" si="46"/>
        <v/>
      </c>
      <c r="Q332" s="33" t="str">
        <f t="shared" si="47"/>
        <v/>
      </c>
      <c r="R332" s="39" t="str">
        <f t="shared" si="48"/>
        <v/>
      </c>
    </row>
    <row r="333" spans="6:18" x14ac:dyDescent="0.25">
      <c r="F333" s="35">
        <v>327</v>
      </c>
      <c r="L333" s="33" t="str">
        <f t="shared" si="42"/>
        <v/>
      </c>
      <c r="M333" t="str">
        <f t="shared" si="43"/>
        <v/>
      </c>
      <c r="N333" s="33" t="str">
        <f t="shared" si="44"/>
        <v/>
      </c>
      <c r="O333" s="33" t="str">
        <f t="shared" si="45"/>
        <v/>
      </c>
      <c r="P333" t="str">
        <f t="shared" si="46"/>
        <v/>
      </c>
      <c r="Q333" s="33" t="str">
        <f t="shared" si="47"/>
        <v/>
      </c>
      <c r="R333" s="39" t="str">
        <f t="shared" si="48"/>
        <v/>
      </c>
    </row>
    <row r="334" spans="6:18" x14ac:dyDescent="0.25">
      <c r="F334" s="35">
        <v>328</v>
      </c>
      <c r="L334" s="33" t="str">
        <f t="shared" si="42"/>
        <v/>
      </c>
      <c r="M334" t="str">
        <f t="shared" si="43"/>
        <v/>
      </c>
      <c r="N334" s="33" t="str">
        <f t="shared" si="44"/>
        <v/>
      </c>
      <c r="O334" s="33" t="str">
        <f t="shared" si="45"/>
        <v/>
      </c>
      <c r="P334" t="str">
        <f t="shared" si="46"/>
        <v/>
      </c>
      <c r="Q334" s="33" t="str">
        <f t="shared" si="47"/>
        <v/>
      </c>
      <c r="R334" s="39" t="str">
        <f t="shared" si="48"/>
        <v/>
      </c>
    </row>
    <row r="335" spans="6:18" x14ac:dyDescent="0.25">
      <c r="F335" s="35">
        <v>329</v>
      </c>
      <c r="L335" s="33" t="str">
        <f t="shared" si="42"/>
        <v/>
      </c>
      <c r="M335" t="str">
        <f t="shared" si="43"/>
        <v/>
      </c>
      <c r="N335" s="33" t="str">
        <f t="shared" si="44"/>
        <v/>
      </c>
      <c r="O335" s="33" t="str">
        <f t="shared" si="45"/>
        <v/>
      </c>
      <c r="P335" t="str">
        <f t="shared" si="46"/>
        <v/>
      </c>
      <c r="Q335" s="33" t="str">
        <f t="shared" si="47"/>
        <v/>
      </c>
      <c r="R335" s="39" t="str">
        <f t="shared" si="48"/>
        <v/>
      </c>
    </row>
    <row r="336" spans="6:18" x14ac:dyDescent="0.25">
      <c r="F336" s="35">
        <v>330</v>
      </c>
      <c r="L336" s="33" t="str">
        <f t="shared" si="42"/>
        <v/>
      </c>
      <c r="M336" t="str">
        <f t="shared" si="43"/>
        <v/>
      </c>
      <c r="N336" s="33" t="str">
        <f t="shared" si="44"/>
        <v/>
      </c>
      <c r="O336" s="33" t="str">
        <f t="shared" si="45"/>
        <v/>
      </c>
      <c r="P336" t="str">
        <f t="shared" si="46"/>
        <v/>
      </c>
      <c r="Q336" s="33" t="str">
        <f t="shared" si="47"/>
        <v/>
      </c>
      <c r="R336" s="39" t="str">
        <f t="shared" si="48"/>
        <v/>
      </c>
    </row>
    <row r="337" spans="6:18" x14ac:dyDescent="0.25">
      <c r="F337" s="35">
        <v>331</v>
      </c>
      <c r="L337" s="33" t="str">
        <f t="shared" si="42"/>
        <v/>
      </c>
      <c r="M337" t="str">
        <f t="shared" si="43"/>
        <v/>
      </c>
      <c r="N337" s="33" t="str">
        <f t="shared" si="44"/>
        <v/>
      </c>
      <c r="O337" s="33" t="str">
        <f t="shared" si="45"/>
        <v/>
      </c>
      <c r="P337" t="str">
        <f t="shared" si="46"/>
        <v/>
      </c>
      <c r="Q337" s="33" t="str">
        <f t="shared" si="47"/>
        <v/>
      </c>
      <c r="R337" s="39" t="str">
        <f t="shared" si="48"/>
        <v/>
      </c>
    </row>
    <row r="338" spans="6:18" x14ac:dyDescent="0.25">
      <c r="F338" s="35">
        <v>332</v>
      </c>
      <c r="L338" s="33" t="str">
        <f t="shared" si="42"/>
        <v/>
      </c>
      <c r="M338" t="str">
        <f t="shared" si="43"/>
        <v/>
      </c>
      <c r="N338" s="33" t="str">
        <f t="shared" si="44"/>
        <v/>
      </c>
      <c r="O338" s="33" t="str">
        <f t="shared" si="45"/>
        <v/>
      </c>
      <c r="P338" t="str">
        <f t="shared" si="46"/>
        <v/>
      </c>
      <c r="Q338" s="33" t="str">
        <f t="shared" si="47"/>
        <v/>
      </c>
      <c r="R338" s="39" t="str">
        <f t="shared" si="48"/>
        <v/>
      </c>
    </row>
    <row r="339" spans="6:18" x14ac:dyDescent="0.25">
      <c r="F339" s="35">
        <v>333</v>
      </c>
      <c r="L339" s="33" t="str">
        <f t="shared" si="42"/>
        <v/>
      </c>
      <c r="M339" t="str">
        <f t="shared" si="43"/>
        <v/>
      </c>
      <c r="N339" s="33" t="str">
        <f t="shared" si="44"/>
        <v/>
      </c>
      <c r="O339" s="33" t="str">
        <f t="shared" si="45"/>
        <v/>
      </c>
      <c r="P339" t="str">
        <f t="shared" si="46"/>
        <v/>
      </c>
      <c r="Q339" s="33" t="str">
        <f t="shared" si="47"/>
        <v/>
      </c>
      <c r="R339" s="39" t="str">
        <f t="shared" si="48"/>
        <v/>
      </c>
    </row>
    <row r="340" spans="6:18" x14ac:dyDescent="0.25">
      <c r="F340" s="35">
        <v>334</v>
      </c>
      <c r="L340" s="33" t="str">
        <f t="shared" si="42"/>
        <v/>
      </c>
      <c r="M340" t="str">
        <f t="shared" si="43"/>
        <v/>
      </c>
      <c r="N340" s="33" t="str">
        <f t="shared" si="44"/>
        <v/>
      </c>
      <c r="O340" s="33" t="str">
        <f t="shared" si="45"/>
        <v/>
      </c>
      <c r="P340" t="str">
        <f t="shared" si="46"/>
        <v/>
      </c>
      <c r="Q340" s="33" t="str">
        <f t="shared" si="47"/>
        <v/>
      </c>
      <c r="R340" s="39" t="str">
        <f t="shared" si="48"/>
        <v/>
      </c>
    </row>
    <row r="341" spans="6:18" x14ac:dyDescent="0.25">
      <c r="F341" s="35">
        <v>335</v>
      </c>
      <c r="L341" s="33" t="str">
        <f t="shared" si="42"/>
        <v/>
      </c>
      <c r="M341" t="str">
        <f t="shared" si="43"/>
        <v/>
      </c>
      <c r="N341" s="33" t="str">
        <f t="shared" si="44"/>
        <v/>
      </c>
      <c r="O341" s="33" t="str">
        <f t="shared" si="45"/>
        <v/>
      </c>
      <c r="P341" t="str">
        <f t="shared" si="46"/>
        <v/>
      </c>
      <c r="Q341" s="33" t="str">
        <f t="shared" si="47"/>
        <v/>
      </c>
      <c r="R341" s="39" t="str">
        <f t="shared" si="48"/>
        <v/>
      </c>
    </row>
    <row r="342" spans="6:18" x14ac:dyDescent="0.25">
      <c r="F342" s="35">
        <v>336</v>
      </c>
      <c r="L342" s="33" t="str">
        <f t="shared" si="42"/>
        <v/>
      </c>
      <c r="M342" t="str">
        <f t="shared" si="43"/>
        <v/>
      </c>
      <c r="N342" s="33" t="str">
        <f t="shared" si="44"/>
        <v/>
      </c>
      <c r="O342" s="33" t="str">
        <f t="shared" si="45"/>
        <v/>
      </c>
      <c r="P342" t="str">
        <f t="shared" si="46"/>
        <v/>
      </c>
      <c r="Q342" s="33" t="str">
        <f t="shared" si="47"/>
        <v/>
      </c>
      <c r="R342" s="39" t="str">
        <f t="shared" si="48"/>
        <v/>
      </c>
    </row>
    <row r="343" spans="6:18" x14ac:dyDescent="0.25">
      <c r="F343" s="35">
        <v>337</v>
      </c>
      <c r="L343" s="33" t="str">
        <f t="shared" si="42"/>
        <v/>
      </c>
      <c r="M343" t="str">
        <f t="shared" si="43"/>
        <v/>
      </c>
      <c r="N343" s="33" t="str">
        <f t="shared" si="44"/>
        <v/>
      </c>
      <c r="O343" s="33" t="str">
        <f t="shared" si="45"/>
        <v/>
      </c>
      <c r="P343" t="str">
        <f t="shared" si="46"/>
        <v/>
      </c>
      <c r="Q343" s="33" t="str">
        <f t="shared" si="47"/>
        <v/>
      </c>
      <c r="R343" s="39" t="str">
        <f t="shared" si="48"/>
        <v/>
      </c>
    </row>
    <row r="344" spans="6:18" x14ac:dyDescent="0.25">
      <c r="F344" s="35">
        <v>338</v>
      </c>
      <c r="L344" s="33" t="str">
        <f t="shared" si="42"/>
        <v/>
      </c>
      <c r="M344" t="str">
        <f t="shared" si="43"/>
        <v/>
      </c>
      <c r="N344" s="33" t="str">
        <f t="shared" si="44"/>
        <v/>
      </c>
      <c r="O344" s="33" t="str">
        <f t="shared" si="45"/>
        <v/>
      </c>
      <c r="P344" t="str">
        <f t="shared" si="46"/>
        <v/>
      </c>
      <c r="Q344" s="33" t="str">
        <f t="shared" si="47"/>
        <v/>
      </c>
      <c r="R344" s="39" t="str">
        <f t="shared" si="48"/>
        <v/>
      </c>
    </row>
    <row r="345" spans="6:18" x14ac:dyDescent="0.25">
      <c r="F345" s="35">
        <v>339</v>
      </c>
      <c r="L345" s="33" t="str">
        <f t="shared" si="42"/>
        <v/>
      </c>
      <c r="M345" t="str">
        <f t="shared" si="43"/>
        <v/>
      </c>
      <c r="N345" s="33" t="str">
        <f t="shared" si="44"/>
        <v/>
      </c>
      <c r="O345" s="33" t="str">
        <f t="shared" si="45"/>
        <v/>
      </c>
      <c r="P345" t="str">
        <f t="shared" si="46"/>
        <v/>
      </c>
      <c r="Q345" s="33" t="str">
        <f t="shared" si="47"/>
        <v/>
      </c>
      <c r="R345" s="39" t="str">
        <f t="shared" si="48"/>
        <v/>
      </c>
    </row>
    <row r="346" spans="6:18" x14ac:dyDescent="0.25">
      <c r="F346" s="35">
        <v>340</v>
      </c>
      <c r="L346" s="33" t="str">
        <f t="shared" si="42"/>
        <v/>
      </c>
      <c r="M346" t="str">
        <f t="shared" si="43"/>
        <v/>
      </c>
      <c r="N346" s="33" t="str">
        <f t="shared" si="44"/>
        <v/>
      </c>
      <c r="O346" s="33" t="str">
        <f t="shared" si="45"/>
        <v/>
      </c>
      <c r="P346" t="str">
        <f t="shared" si="46"/>
        <v/>
      </c>
      <c r="Q346" s="33" t="str">
        <f t="shared" si="47"/>
        <v/>
      </c>
      <c r="R346" s="39" t="str">
        <f t="shared" si="48"/>
        <v/>
      </c>
    </row>
    <row r="347" spans="6:18" x14ac:dyDescent="0.25">
      <c r="F347" s="35">
        <v>341</v>
      </c>
      <c r="L347" s="33" t="str">
        <f t="shared" si="42"/>
        <v/>
      </c>
      <c r="M347" t="str">
        <f t="shared" si="43"/>
        <v/>
      </c>
      <c r="N347" s="33" t="str">
        <f t="shared" si="44"/>
        <v/>
      </c>
      <c r="O347" s="33" t="str">
        <f t="shared" si="45"/>
        <v/>
      </c>
      <c r="P347" t="str">
        <f t="shared" si="46"/>
        <v/>
      </c>
      <c r="Q347" s="33" t="str">
        <f t="shared" si="47"/>
        <v/>
      </c>
      <c r="R347" s="39" t="str">
        <f t="shared" si="48"/>
        <v/>
      </c>
    </row>
    <row r="348" spans="6:18" x14ac:dyDescent="0.25">
      <c r="F348" s="35">
        <v>342</v>
      </c>
      <c r="L348" s="33" t="str">
        <f t="shared" si="42"/>
        <v/>
      </c>
      <c r="M348" t="str">
        <f t="shared" si="43"/>
        <v/>
      </c>
      <c r="N348" s="33" t="str">
        <f t="shared" si="44"/>
        <v/>
      </c>
      <c r="O348" s="33" t="str">
        <f t="shared" si="45"/>
        <v/>
      </c>
      <c r="P348" t="str">
        <f t="shared" si="46"/>
        <v/>
      </c>
      <c r="Q348" s="33" t="str">
        <f t="shared" si="47"/>
        <v/>
      </c>
      <c r="R348" s="39" t="str">
        <f t="shared" si="48"/>
        <v/>
      </c>
    </row>
    <row r="349" spans="6:18" x14ac:dyDescent="0.25">
      <c r="F349" s="35">
        <v>343</v>
      </c>
      <c r="L349" s="33" t="str">
        <f t="shared" si="42"/>
        <v/>
      </c>
      <c r="M349" t="str">
        <f t="shared" si="43"/>
        <v/>
      </c>
      <c r="N349" s="33" t="str">
        <f t="shared" si="44"/>
        <v/>
      </c>
      <c r="O349" s="33" t="str">
        <f t="shared" si="45"/>
        <v/>
      </c>
      <c r="P349" t="str">
        <f t="shared" si="46"/>
        <v/>
      </c>
      <c r="Q349" s="33" t="str">
        <f t="shared" si="47"/>
        <v/>
      </c>
      <c r="R349" s="39" t="str">
        <f t="shared" si="48"/>
        <v/>
      </c>
    </row>
    <row r="350" spans="6:18" x14ac:dyDescent="0.25">
      <c r="F350" s="35">
        <v>344</v>
      </c>
      <c r="L350" s="33" t="str">
        <f t="shared" si="42"/>
        <v/>
      </c>
      <c r="M350" t="str">
        <f t="shared" si="43"/>
        <v/>
      </c>
      <c r="N350" s="33" t="str">
        <f t="shared" si="44"/>
        <v/>
      </c>
      <c r="O350" s="33" t="str">
        <f t="shared" si="45"/>
        <v/>
      </c>
      <c r="P350" t="str">
        <f t="shared" si="46"/>
        <v/>
      </c>
      <c r="Q350" s="33" t="str">
        <f t="shared" si="47"/>
        <v/>
      </c>
      <c r="R350" s="39" t="str">
        <f t="shared" si="48"/>
        <v/>
      </c>
    </row>
    <row r="351" spans="6:18" x14ac:dyDescent="0.25">
      <c r="F351" s="35">
        <v>345</v>
      </c>
      <c r="L351" s="33" t="str">
        <f t="shared" si="42"/>
        <v/>
      </c>
      <c r="M351" t="str">
        <f t="shared" si="43"/>
        <v/>
      </c>
      <c r="N351" s="33" t="str">
        <f t="shared" si="44"/>
        <v/>
      </c>
      <c r="O351" s="33" t="str">
        <f t="shared" si="45"/>
        <v/>
      </c>
      <c r="P351" t="str">
        <f t="shared" si="46"/>
        <v/>
      </c>
      <c r="Q351" s="33" t="str">
        <f t="shared" si="47"/>
        <v/>
      </c>
      <c r="R351" s="39" t="str">
        <f t="shared" si="48"/>
        <v/>
      </c>
    </row>
    <row r="352" spans="6:18" x14ac:dyDescent="0.25">
      <c r="F352" s="35">
        <v>346</v>
      </c>
      <c r="L352" s="33" t="str">
        <f t="shared" si="42"/>
        <v/>
      </c>
      <c r="M352" t="str">
        <f t="shared" si="43"/>
        <v/>
      </c>
      <c r="N352" s="33" t="str">
        <f t="shared" si="44"/>
        <v/>
      </c>
      <c r="O352" s="33" t="str">
        <f t="shared" si="45"/>
        <v/>
      </c>
      <c r="P352" t="str">
        <f t="shared" si="46"/>
        <v/>
      </c>
      <c r="Q352" s="33" t="str">
        <f t="shared" si="47"/>
        <v/>
      </c>
      <c r="R352" s="39" t="str">
        <f t="shared" si="48"/>
        <v/>
      </c>
    </row>
    <row r="353" spans="6:18" x14ac:dyDescent="0.25">
      <c r="F353" s="35">
        <v>347</v>
      </c>
      <c r="L353" s="33" t="str">
        <f t="shared" si="42"/>
        <v/>
      </c>
      <c r="M353" t="str">
        <f t="shared" si="43"/>
        <v/>
      </c>
      <c r="N353" s="33" t="str">
        <f t="shared" si="44"/>
        <v/>
      </c>
      <c r="O353" s="33" t="str">
        <f t="shared" si="45"/>
        <v/>
      </c>
      <c r="P353" t="str">
        <f t="shared" si="46"/>
        <v/>
      </c>
      <c r="Q353" s="33" t="str">
        <f t="shared" si="47"/>
        <v/>
      </c>
      <c r="R353" s="39" t="str">
        <f t="shared" si="48"/>
        <v/>
      </c>
    </row>
    <row r="354" spans="6:18" x14ac:dyDescent="0.25">
      <c r="F354" s="35">
        <v>348</v>
      </c>
      <c r="L354" s="33" t="str">
        <f t="shared" si="42"/>
        <v/>
      </c>
      <c r="M354" t="str">
        <f t="shared" si="43"/>
        <v/>
      </c>
      <c r="N354" s="33" t="str">
        <f t="shared" si="44"/>
        <v/>
      </c>
      <c r="O354" s="33" t="str">
        <f t="shared" si="45"/>
        <v/>
      </c>
      <c r="P354" t="str">
        <f t="shared" si="46"/>
        <v/>
      </c>
      <c r="Q354" s="33" t="str">
        <f t="shared" si="47"/>
        <v/>
      </c>
      <c r="R354" s="39" t="str">
        <f t="shared" si="48"/>
        <v/>
      </c>
    </row>
    <row r="355" spans="6:18" x14ac:dyDescent="0.25">
      <c r="F355" s="35">
        <v>349</v>
      </c>
      <c r="L355" s="33" t="str">
        <f t="shared" si="42"/>
        <v/>
      </c>
      <c r="M355" t="str">
        <f t="shared" si="43"/>
        <v/>
      </c>
      <c r="N355" s="33" t="str">
        <f t="shared" si="44"/>
        <v/>
      </c>
      <c r="O355" s="33" t="str">
        <f t="shared" si="45"/>
        <v/>
      </c>
      <c r="P355" t="str">
        <f t="shared" si="46"/>
        <v/>
      </c>
      <c r="Q355" s="33" t="str">
        <f t="shared" si="47"/>
        <v/>
      </c>
      <c r="R355" s="39" t="str">
        <f t="shared" si="48"/>
        <v/>
      </c>
    </row>
    <row r="356" spans="6:18" x14ac:dyDescent="0.25">
      <c r="F356" s="35">
        <v>350</v>
      </c>
      <c r="L356" s="33" t="str">
        <f t="shared" si="42"/>
        <v/>
      </c>
      <c r="M356" t="str">
        <f t="shared" si="43"/>
        <v/>
      </c>
      <c r="N356" s="33" t="str">
        <f t="shared" si="44"/>
        <v/>
      </c>
      <c r="O356" s="33" t="str">
        <f t="shared" si="45"/>
        <v/>
      </c>
      <c r="P356" t="str">
        <f t="shared" si="46"/>
        <v/>
      </c>
      <c r="Q356" s="33" t="str">
        <f t="shared" si="47"/>
        <v/>
      </c>
      <c r="R356" s="39" t="str">
        <f t="shared" si="48"/>
        <v/>
      </c>
    </row>
    <row r="357" spans="6:18" x14ac:dyDescent="0.25">
      <c r="F357" s="35">
        <v>351</v>
      </c>
      <c r="L357" s="33" t="str">
        <f t="shared" si="42"/>
        <v/>
      </c>
      <c r="M357" t="str">
        <f t="shared" si="43"/>
        <v/>
      </c>
      <c r="N357" s="33" t="str">
        <f t="shared" si="44"/>
        <v/>
      </c>
      <c r="O357" s="33" t="str">
        <f t="shared" si="45"/>
        <v/>
      </c>
      <c r="P357" t="str">
        <f t="shared" si="46"/>
        <v/>
      </c>
      <c r="Q357" s="33" t="str">
        <f t="shared" si="47"/>
        <v/>
      </c>
      <c r="R357" s="39" t="str">
        <f t="shared" si="48"/>
        <v/>
      </c>
    </row>
    <row r="358" spans="6:18" x14ac:dyDescent="0.25">
      <c r="F358" s="35">
        <v>352</v>
      </c>
      <c r="L358" s="33" t="str">
        <f t="shared" si="42"/>
        <v/>
      </c>
      <c r="M358" t="str">
        <f t="shared" si="43"/>
        <v/>
      </c>
      <c r="N358" s="33" t="str">
        <f t="shared" si="44"/>
        <v/>
      </c>
      <c r="O358" s="33" t="str">
        <f t="shared" si="45"/>
        <v/>
      </c>
      <c r="P358" t="str">
        <f t="shared" si="46"/>
        <v/>
      </c>
      <c r="Q358" s="33" t="str">
        <f t="shared" si="47"/>
        <v/>
      </c>
      <c r="R358" s="39" t="str">
        <f t="shared" si="48"/>
        <v/>
      </c>
    </row>
    <row r="359" spans="6:18" x14ac:dyDescent="0.25">
      <c r="F359" s="35">
        <v>353</v>
      </c>
      <c r="L359" s="33" t="str">
        <f t="shared" si="42"/>
        <v/>
      </c>
      <c r="M359" t="str">
        <f t="shared" si="43"/>
        <v/>
      </c>
      <c r="N359" s="33" t="str">
        <f t="shared" si="44"/>
        <v/>
      </c>
      <c r="O359" s="33" t="str">
        <f t="shared" si="45"/>
        <v/>
      </c>
      <c r="P359" t="str">
        <f t="shared" si="46"/>
        <v/>
      </c>
      <c r="Q359" s="33" t="str">
        <f t="shared" si="47"/>
        <v/>
      </c>
      <c r="R359" s="39" t="str">
        <f t="shared" si="48"/>
        <v/>
      </c>
    </row>
    <row r="360" spans="6:18" x14ac:dyDescent="0.25">
      <c r="F360" s="35">
        <v>354</v>
      </c>
      <c r="L360" s="33" t="str">
        <f t="shared" si="42"/>
        <v/>
      </c>
      <c r="M360" t="str">
        <f t="shared" si="43"/>
        <v/>
      </c>
      <c r="N360" s="33" t="str">
        <f t="shared" si="44"/>
        <v/>
      </c>
      <c r="O360" s="33" t="str">
        <f t="shared" si="45"/>
        <v/>
      </c>
      <c r="P360" t="str">
        <f t="shared" si="46"/>
        <v/>
      </c>
      <c r="Q360" s="33" t="str">
        <f t="shared" si="47"/>
        <v/>
      </c>
      <c r="R360" s="39" t="str">
        <f t="shared" si="48"/>
        <v/>
      </c>
    </row>
    <row r="361" spans="6:18" x14ac:dyDescent="0.25">
      <c r="F361" s="35">
        <v>355</v>
      </c>
      <c r="L361" s="33" t="str">
        <f t="shared" si="42"/>
        <v/>
      </c>
      <c r="M361" t="str">
        <f t="shared" si="43"/>
        <v/>
      </c>
      <c r="N361" s="33" t="str">
        <f t="shared" si="44"/>
        <v/>
      </c>
      <c r="O361" s="33" t="str">
        <f t="shared" si="45"/>
        <v/>
      </c>
      <c r="P361" t="str">
        <f t="shared" si="46"/>
        <v/>
      </c>
      <c r="Q361" s="33" t="str">
        <f t="shared" si="47"/>
        <v/>
      </c>
      <c r="R361" s="39" t="str">
        <f t="shared" si="48"/>
        <v/>
      </c>
    </row>
    <row r="362" spans="6:18" x14ac:dyDescent="0.25">
      <c r="F362" s="35">
        <v>356</v>
      </c>
      <c r="L362" s="33" t="str">
        <f t="shared" si="42"/>
        <v/>
      </c>
      <c r="M362" t="str">
        <f t="shared" si="43"/>
        <v/>
      </c>
      <c r="N362" s="33" t="str">
        <f t="shared" si="44"/>
        <v/>
      </c>
      <c r="O362" s="33" t="str">
        <f t="shared" si="45"/>
        <v/>
      </c>
      <c r="P362" t="str">
        <f t="shared" si="46"/>
        <v/>
      </c>
      <c r="Q362" s="33" t="str">
        <f t="shared" si="47"/>
        <v/>
      </c>
      <c r="R362" s="39" t="str">
        <f t="shared" si="48"/>
        <v/>
      </c>
    </row>
    <row r="363" spans="6:18" x14ac:dyDescent="0.25">
      <c r="F363" s="35">
        <v>357</v>
      </c>
      <c r="L363" s="33" t="str">
        <f t="shared" si="42"/>
        <v/>
      </c>
      <c r="M363" t="str">
        <f t="shared" si="43"/>
        <v/>
      </c>
      <c r="N363" s="33" t="str">
        <f t="shared" si="44"/>
        <v/>
      </c>
      <c r="O363" s="33" t="str">
        <f t="shared" si="45"/>
        <v/>
      </c>
      <c r="P363" t="str">
        <f t="shared" si="46"/>
        <v/>
      </c>
      <c r="Q363" s="33" t="str">
        <f t="shared" si="47"/>
        <v/>
      </c>
      <c r="R363" s="39" t="str">
        <f t="shared" si="48"/>
        <v/>
      </c>
    </row>
    <row r="364" spans="6:18" x14ac:dyDescent="0.25">
      <c r="F364" s="35">
        <v>358</v>
      </c>
      <c r="L364" s="33" t="str">
        <f t="shared" si="42"/>
        <v/>
      </c>
      <c r="M364" t="str">
        <f t="shared" si="43"/>
        <v/>
      </c>
      <c r="N364" s="33" t="str">
        <f t="shared" si="44"/>
        <v/>
      </c>
      <c r="O364" s="33" t="str">
        <f t="shared" si="45"/>
        <v/>
      </c>
      <c r="P364" t="str">
        <f t="shared" si="46"/>
        <v/>
      </c>
      <c r="Q364" s="33" t="str">
        <f t="shared" si="47"/>
        <v/>
      </c>
      <c r="R364" s="39" t="str">
        <f t="shared" si="48"/>
        <v/>
      </c>
    </row>
    <row r="365" spans="6:18" x14ac:dyDescent="0.25">
      <c r="F365" s="35">
        <v>359</v>
      </c>
      <c r="L365" s="33" t="str">
        <f t="shared" si="42"/>
        <v/>
      </c>
      <c r="M365" t="str">
        <f t="shared" si="43"/>
        <v/>
      </c>
      <c r="N365" s="33" t="str">
        <f t="shared" si="44"/>
        <v/>
      </c>
      <c r="O365" s="33" t="str">
        <f t="shared" si="45"/>
        <v/>
      </c>
      <c r="P365" t="str">
        <f t="shared" si="46"/>
        <v/>
      </c>
      <c r="Q365" s="33" t="str">
        <f t="shared" si="47"/>
        <v/>
      </c>
      <c r="R365" s="39" t="str">
        <f t="shared" si="48"/>
        <v/>
      </c>
    </row>
    <row r="366" spans="6:18" x14ac:dyDescent="0.25">
      <c r="F366" s="35">
        <v>360</v>
      </c>
      <c r="L366" s="33" t="str">
        <f t="shared" si="42"/>
        <v/>
      </c>
      <c r="M366" t="str">
        <f t="shared" si="43"/>
        <v/>
      </c>
      <c r="N366" s="33" t="str">
        <f t="shared" si="44"/>
        <v/>
      </c>
      <c r="O366" s="33" t="str">
        <f t="shared" si="45"/>
        <v/>
      </c>
      <c r="P366" t="str">
        <f t="shared" si="46"/>
        <v/>
      </c>
      <c r="Q366" s="33" t="str">
        <f t="shared" si="47"/>
        <v/>
      </c>
      <c r="R366" s="39" t="str">
        <f t="shared" si="48"/>
        <v/>
      </c>
    </row>
    <row r="367" spans="6:18" x14ac:dyDescent="0.25">
      <c r="F367" s="35">
        <v>361</v>
      </c>
      <c r="L367" s="33" t="str">
        <f t="shared" si="42"/>
        <v/>
      </c>
      <c r="M367" t="str">
        <f t="shared" si="43"/>
        <v/>
      </c>
      <c r="N367" s="33" t="str">
        <f t="shared" si="44"/>
        <v/>
      </c>
      <c r="O367" s="33" t="str">
        <f t="shared" si="45"/>
        <v/>
      </c>
      <c r="P367" t="str">
        <f t="shared" si="46"/>
        <v/>
      </c>
      <c r="Q367" s="33" t="str">
        <f t="shared" si="47"/>
        <v/>
      </c>
      <c r="R367" s="39" t="str">
        <f t="shared" si="48"/>
        <v/>
      </c>
    </row>
    <row r="368" spans="6:18" x14ac:dyDescent="0.25">
      <c r="F368" s="35">
        <v>362</v>
      </c>
      <c r="L368" s="33" t="str">
        <f t="shared" si="42"/>
        <v/>
      </c>
      <c r="M368" t="str">
        <f t="shared" si="43"/>
        <v/>
      </c>
      <c r="N368" s="33" t="str">
        <f t="shared" si="44"/>
        <v/>
      </c>
      <c r="O368" s="33" t="str">
        <f t="shared" si="45"/>
        <v/>
      </c>
      <c r="P368" t="str">
        <f t="shared" si="46"/>
        <v/>
      </c>
      <c r="Q368" s="33" t="str">
        <f t="shared" si="47"/>
        <v/>
      </c>
      <c r="R368" s="39" t="str">
        <f t="shared" si="48"/>
        <v/>
      </c>
    </row>
    <row r="369" spans="6:18" x14ac:dyDescent="0.25">
      <c r="F369" s="35">
        <v>363</v>
      </c>
      <c r="L369" s="33" t="str">
        <f t="shared" si="42"/>
        <v/>
      </c>
      <c r="M369" t="str">
        <f t="shared" si="43"/>
        <v/>
      </c>
      <c r="N369" s="33" t="str">
        <f t="shared" si="44"/>
        <v/>
      </c>
      <c r="O369" s="33" t="str">
        <f t="shared" si="45"/>
        <v/>
      </c>
      <c r="P369" t="str">
        <f t="shared" si="46"/>
        <v/>
      </c>
      <c r="Q369" s="33" t="str">
        <f t="shared" si="47"/>
        <v/>
      </c>
      <c r="R369" s="39" t="str">
        <f t="shared" si="48"/>
        <v/>
      </c>
    </row>
    <row r="370" spans="6:18" x14ac:dyDescent="0.25">
      <c r="F370" s="35">
        <v>364</v>
      </c>
      <c r="L370" s="33" t="str">
        <f t="shared" si="42"/>
        <v/>
      </c>
      <c r="M370" t="str">
        <f t="shared" si="43"/>
        <v/>
      </c>
      <c r="N370" s="33" t="str">
        <f t="shared" si="44"/>
        <v/>
      </c>
      <c r="O370" s="33" t="str">
        <f t="shared" si="45"/>
        <v/>
      </c>
      <c r="P370" t="str">
        <f t="shared" si="46"/>
        <v/>
      </c>
      <c r="Q370" s="33" t="str">
        <f t="shared" si="47"/>
        <v/>
      </c>
      <c r="R370" s="39" t="str">
        <f t="shared" si="48"/>
        <v/>
      </c>
    </row>
    <row r="371" spans="6:18" x14ac:dyDescent="0.25">
      <c r="F371" s="35">
        <v>365</v>
      </c>
      <c r="L371" s="33" t="str">
        <f t="shared" si="42"/>
        <v/>
      </c>
      <c r="M371" t="str">
        <f t="shared" si="43"/>
        <v/>
      </c>
      <c r="N371" s="33" t="str">
        <f t="shared" si="44"/>
        <v/>
      </c>
      <c r="O371" s="33" t="str">
        <f t="shared" si="45"/>
        <v/>
      </c>
      <c r="P371" t="str">
        <f t="shared" si="46"/>
        <v/>
      </c>
      <c r="Q371" s="33" t="str">
        <f t="shared" si="47"/>
        <v/>
      </c>
      <c r="R371" s="39" t="str">
        <f t="shared" si="48"/>
        <v/>
      </c>
    </row>
    <row r="372" spans="6:18" x14ac:dyDescent="0.25">
      <c r="F372" s="35">
        <v>366</v>
      </c>
      <c r="L372" s="33" t="str">
        <f t="shared" si="42"/>
        <v/>
      </c>
      <c r="M372" t="str">
        <f t="shared" si="43"/>
        <v/>
      </c>
      <c r="N372" s="33" t="str">
        <f t="shared" si="44"/>
        <v/>
      </c>
      <c r="O372" s="33" t="str">
        <f t="shared" si="45"/>
        <v/>
      </c>
      <c r="P372" t="str">
        <f t="shared" si="46"/>
        <v/>
      </c>
      <c r="Q372" s="33" t="str">
        <f t="shared" si="47"/>
        <v/>
      </c>
      <c r="R372" s="39" t="str">
        <f t="shared" si="48"/>
        <v/>
      </c>
    </row>
    <row r="373" spans="6:18" x14ac:dyDescent="0.25">
      <c r="F373" s="35">
        <v>367</v>
      </c>
      <c r="L373" s="33" t="str">
        <f t="shared" si="42"/>
        <v/>
      </c>
      <c r="M373" t="str">
        <f t="shared" si="43"/>
        <v/>
      </c>
      <c r="N373" s="33" t="str">
        <f t="shared" si="44"/>
        <v/>
      </c>
      <c r="O373" s="33" t="str">
        <f t="shared" si="45"/>
        <v/>
      </c>
      <c r="P373" t="str">
        <f t="shared" si="46"/>
        <v/>
      </c>
      <c r="Q373" s="33" t="str">
        <f t="shared" si="47"/>
        <v/>
      </c>
      <c r="R373" s="39" t="str">
        <f t="shared" si="48"/>
        <v/>
      </c>
    </row>
    <row r="374" spans="6:18" x14ac:dyDescent="0.25">
      <c r="F374" s="35">
        <v>368</v>
      </c>
      <c r="L374" s="33" t="str">
        <f t="shared" si="42"/>
        <v/>
      </c>
      <c r="M374" t="str">
        <f t="shared" si="43"/>
        <v/>
      </c>
      <c r="N374" s="33" t="str">
        <f t="shared" si="44"/>
        <v/>
      </c>
      <c r="O374" s="33" t="str">
        <f t="shared" si="45"/>
        <v/>
      </c>
      <c r="P374" t="str">
        <f t="shared" si="46"/>
        <v/>
      </c>
      <c r="Q374" s="33" t="str">
        <f t="shared" si="47"/>
        <v/>
      </c>
      <c r="R374" s="39" t="str">
        <f t="shared" si="48"/>
        <v/>
      </c>
    </row>
    <row r="375" spans="6:18" x14ac:dyDescent="0.25">
      <c r="F375" s="35">
        <v>369</v>
      </c>
      <c r="L375" s="33" t="str">
        <f t="shared" si="42"/>
        <v/>
      </c>
      <c r="M375" t="str">
        <f t="shared" si="43"/>
        <v/>
      </c>
      <c r="N375" s="33" t="str">
        <f t="shared" si="44"/>
        <v/>
      </c>
      <c r="O375" s="33" t="str">
        <f t="shared" si="45"/>
        <v/>
      </c>
      <c r="P375" t="str">
        <f t="shared" si="46"/>
        <v/>
      </c>
      <c r="Q375" s="33" t="str">
        <f t="shared" si="47"/>
        <v/>
      </c>
      <c r="R375" s="39" t="str">
        <f t="shared" si="48"/>
        <v/>
      </c>
    </row>
    <row r="376" spans="6:18" x14ac:dyDescent="0.25">
      <c r="F376" s="35">
        <v>370</v>
      </c>
      <c r="L376" s="33" t="str">
        <f t="shared" si="42"/>
        <v/>
      </c>
      <c r="M376" t="str">
        <f t="shared" si="43"/>
        <v/>
      </c>
      <c r="N376" s="33" t="str">
        <f t="shared" si="44"/>
        <v/>
      </c>
      <c r="O376" s="33" t="str">
        <f t="shared" si="45"/>
        <v/>
      </c>
      <c r="P376" t="str">
        <f t="shared" si="46"/>
        <v/>
      </c>
      <c r="Q376" s="33" t="str">
        <f t="shared" si="47"/>
        <v/>
      </c>
      <c r="R376" s="39" t="str">
        <f t="shared" si="48"/>
        <v/>
      </c>
    </row>
    <row r="377" spans="6:18" x14ac:dyDescent="0.25">
      <c r="F377" s="35">
        <v>371</v>
      </c>
      <c r="L377" s="33" t="str">
        <f t="shared" si="42"/>
        <v/>
      </c>
      <c r="M377" t="str">
        <f t="shared" si="43"/>
        <v/>
      </c>
      <c r="N377" s="33" t="str">
        <f t="shared" si="44"/>
        <v/>
      </c>
      <c r="O377" s="33" t="str">
        <f t="shared" si="45"/>
        <v/>
      </c>
      <c r="P377" t="str">
        <f t="shared" si="46"/>
        <v/>
      </c>
      <c r="Q377" s="33" t="str">
        <f t="shared" si="47"/>
        <v/>
      </c>
      <c r="R377" s="39" t="str">
        <f t="shared" si="48"/>
        <v/>
      </c>
    </row>
    <row r="378" spans="6:18" x14ac:dyDescent="0.25">
      <c r="F378" s="35">
        <v>372</v>
      </c>
      <c r="L378" s="33" t="str">
        <f t="shared" si="42"/>
        <v/>
      </c>
      <c r="M378" t="str">
        <f t="shared" si="43"/>
        <v/>
      </c>
      <c r="N378" s="33" t="str">
        <f t="shared" si="44"/>
        <v/>
      </c>
      <c r="O378" s="33" t="str">
        <f t="shared" si="45"/>
        <v/>
      </c>
      <c r="P378" t="str">
        <f t="shared" si="46"/>
        <v/>
      </c>
      <c r="Q378" s="33" t="str">
        <f t="shared" si="47"/>
        <v/>
      </c>
      <c r="R378" s="39" t="str">
        <f t="shared" si="48"/>
        <v/>
      </c>
    </row>
    <row r="379" spans="6:18" x14ac:dyDescent="0.25">
      <c r="F379" s="35">
        <v>373</v>
      </c>
      <c r="L379" s="33" t="str">
        <f t="shared" si="42"/>
        <v/>
      </c>
      <c r="M379" t="str">
        <f t="shared" si="43"/>
        <v/>
      </c>
      <c r="N379" s="33" t="str">
        <f t="shared" si="44"/>
        <v/>
      </c>
      <c r="O379" s="33" t="str">
        <f t="shared" si="45"/>
        <v/>
      </c>
      <c r="P379" t="str">
        <f t="shared" si="46"/>
        <v/>
      </c>
      <c r="Q379" s="33" t="str">
        <f t="shared" si="47"/>
        <v/>
      </c>
      <c r="R379" s="39" t="str">
        <f t="shared" si="48"/>
        <v/>
      </c>
    </row>
    <row r="380" spans="6:18" x14ac:dyDescent="0.25">
      <c r="F380" s="35">
        <v>374</v>
      </c>
      <c r="L380" s="33" t="str">
        <f t="shared" si="42"/>
        <v/>
      </c>
      <c r="M380" t="str">
        <f t="shared" si="43"/>
        <v/>
      </c>
      <c r="N380" s="33" t="str">
        <f t="shared" si="44"/>
        <v/>
      </c>
      <c r="O380" s="33" t="str">
        <f t="shared" si="45"/>
        <v/>
      </c>
      <c r="P380" t="str">
        <f t="shared" si="46"/>
        <v/>
      </c>
      <c r="Q380" s="33" t="str">
        <f t="shared" si="47"/>
        <v/>
      </c>
      <c r="R380" s="39" t="str">
        <f t="shared" si="48"/>
        <v/>
      </c>
    </row>
    <row r="381" spans="6:18" x14ac:dyDescent="0.25">
      <c r="F381" s="35">
        <v>375</v>
      </c>
      <c r="L381" s="33" t="str">
        <f t="shared" si="42"/>
        <v/>
      </c>
      <c r="M381" t="str">
        <f t="shared" si="43"/>
        <v/>
      </c>
      <c r="N381" s="33" t="str">
        <f t="shared" si="44"/>
        <v/>
      </c>
      <c r="O381" s="33" t="str">
        <f t="shared" si="45"/>
        <v/>
      </c>
      <c r="P381" t="str">
        <f t="shared" si="46"/>
        <v/>
      </c>
      <c r="Q381" s="33" t="str">
        <f t="shared" si="47"/>
        <v/>
      </c>
      <c r="R381" s="39" t="str">
        <f t="shared" si="48"/>
        <v/>
      </c>
    </row>
    <row r="382" spans="6:18" x14ac:dyDescent="0.25">
      <c r="F382" s="35">
        <v>376</v>
      </c>
      <c r="L382" s="33" t="str">
        <f t="shared" si="42"/>
        <v/>
      </c>
      <c r="M382" t="str">
        <f t="shared" si="43"/>
        <v/>
      </c>
      <c r="N382" s="33" t="str">
        <f t="shared" si="44"/>
        <v/>
      </c>
      <c r="O382" s="33" t="str">
        <f t="shared" si="45"/>
        <v/>
      </c>
      <c r="P382" t="str">
        <f t="shared" si="46"/>
        <v/>
      </c>
      <c r="Q382" s="33" t="str">
        <f t="shared" si="47"/>
        <v/>
      </c>
      <c r="R382" s="39" t="str">
        <f t="shared" si="48"/>
        <v/>
      </c>
    </row>
    <row r="383" spans="6:18" x14ac:dyDescent="0.25">
      <c r="F383" s="35">
        <v>377</v>
      </c>
      <c r="L383" s="33" t="str">
        <f t="shared" si="42"/>
        <v/>
      </c>
      <c r="M383" t="str">
        <f t="shared" si="43"/>
        <v/>
      </c>
      <c r="N383" s="33" t="str">
        <f t="shared" si="44"/>
        <v/>
      </c>
      <c r="O383" s="33" t="str">
        <f t="shared" si="45"/>
        <v/>
      </c>
      <c r="P383" t="str">
        <f t="shared" si="46"/>
        <v/>
      </c>
      <c r="Q383" s="33" t="str">
        <f t="shared" si="47"/>
        <v/>
      </c>
      <c r="R383" s="39" t="str">
        <f t="shared" si="48"/>
        <v/>
      </c>
    </row>
    <row r="384" spans="6:18" x14ac:dyDescent="0.25">
      <c r="F384" s="35">
        <v>378</v>
      </c>
      <c r="L384" s="33" t="str">
        <f t="shared" si="42"/>
        <v/>
      </c>
      <c r="M384" t="str">
        <f t="shared" si="43"/>
        <v/>
      </c>
      <c r="N384" s="33" t="str">
        <f t="shared" si="44"/>
        <v/>
      </c>
      <c r="O384" s="33" t="str">
        <f t="shared" si="45"/>
        <v/>
      </c>
      <c r="P384" t="str">
        <f t="shared" si="46"/>
        <v/>
      </c>
      <c r="Q384" s="33" t="str">
        <f t="shared" si="47"/>
        <v/>
      </c>
      <c r="R384" s="39" t="str">
        <f t="shared" si="48"/>
        <v/>
      </c>
    </row>
    <row r="385" spans="6:18" x14ac:dyDescent="0.25">
      <c r="F385" s="35">
        <v>379</v>
      </c>
      <c r="L385" s="33" t="str">
        <f t="shared" si="42"/>
        <v/>
      </c>
      <c r="M385" t="str">
        <f t="shared" si="43"/>
        <v/>
      </c>
      <c r="N385" s="33" t="str">
        <f t="shared" si="44"/>
        <v/>
      </c>
      <c r="O385" s="33" t="str">
        <f t="shared" si="45"/>
        <v/>
      </c>
      <c r="P385" t="str">
        <f t="shared" si="46"/>
        <v/>
      </c>
      <c r="Q385" s="33" t="str">
        <f t="shared" si="47"/>
        <v/>
      </c>
      <c r="R385" s="39" t="str">
        <f t="shared" si="48"/>
        <v/>
      </c>
    </row>
    <row r="386" spans="6:18" x14ac:dyDescent="0.25">
      <c r="F386" s="35">
        <v>380</v>
      </c>
      <c r="L386" s="33" t="str">
        <f t="shared" si="42"/>
        <v/>
      </c>
      <c r="M386" t="str">
        <f t="shared" si="43"/>
        <v/>
      </c>
      <c r="N386" s="33" t="str">
        <f t="shared" si="44"/>
        <v/>
      </c>
      <c r="O386" s="33" t="str">
        <f t="shared" si="45"/>
        <v/>
      </c>
      <c r="P386" t="str">
        <f t="shared" si="46"/>
        <v/>
      </c>
      <c r="Q386" s="33" t="str">
        <f t="shared" si="47"/>
        <v/>
      </c>
      <c r="R386" s="39" t="str">
        <f t="shared" si="48"/>
        <v/>
      </c>
    </row>
    <row r="387" spans="6:18" x14ac:dyDescent="0.25">
      <c r="F387" s="35">
        <v>381</v>
      </c>
      <c r="L387" s="33" t="str">
        <f t="shared" si="42"/>
        <v/>
      </c>
      <c r="M387" t="str">
        <f t="shared" si="43"/>
        <v/>
      </c>
      <c r="N387" s="33" t="str">
        <f t="shared" si="44"/>
        <v/>
      </c>
      <c r="O387" s="33" t="str">
        <f t="shared" si="45"/>
        <v/>
      </c>
      <c r="P387" t="str">
        <f t="shared" si="46"/>
        <v/>
      </c>
      <c r="Q387" s="33" t="str">
        <f t="shared" si="47"/>
        <v/>
      </c>
      <c r="R387" s="39" t="str">
        <f t="shared" si="48"/>
        <v/>
      </c>
    </row>
    <row r="388" spans="6:18" x14ac:dyDescent="0.25">
      <c r="F388" s="35">
        <v>382</v>
      </c>
      <c r="L388" s="33" t="str">
        <f t="shared" si="42"/>
        <v/>
      </c>
      <c r="M388" t="str">
        <f t="shared" si="43"/>
        <v/>
      </c>
      <c r="N388" s="33" t="str">
        <f t="shared" si="44"/>
        <v/>
      </c>
      <c r="O388" s="33" t="str">
        <f t="shared" si="45"/>
        <v/>
      </c>
      <c r="P388" t="str">
        <f t="shared" si="46"/>
        <v/>
      </c>
      <c r="Q388" s="33" t="str">
        <f t="shared" si="47"/>
        <v/>
      </c>
      <c r="R388" s="39" t="str">
        <f t="shared" si="48"/>
        <v/>
      </c>
    </row>
    <row r="389" spans="6:18" x14ac:dyDescent="0.25">
      <c r="F389" s="35">
        <v>383</v>
      </c>
      <c r="L389" s="33" t="str">
        <f t="shared" si="42"/>
        <v/>
      </c>
      <c r="M389" t="str">
        <f t="shared" si="43"/>
        <v/>
      </c>
      <c r="N389" s="33" t="str">
        <f t="shared" si="44"/>
        <v/>
      </c>
      <c r="O389" s="33" t="str">
        <f t="shared" si="45"/>
        <v/>
      </c>
      <c r="P389" t="str">
        <f t="shared" si="46"/>
        <v/>
      </c>
      <c r="Q389" s="33" t="str">
        <f t="shared" si="47"/>
        <v/>
      </c>
      <c r="R389" s="39" t="str">
        <f t="shared" si="48"/>
        <v/>
      </c>
    </row>
    <row r="390" spans="6:18" x14ac:dyDescent="0.25">
      <c r="F390" s="35">
        <v>384</v>
      </c>
      <c r="L390" s="33" t="str">
        <f t="shared" si="42"/>
        <v/>
      </c>
      <c r="M390" t="str">
        <f t="shared" si="43"/>
        <v/>
      </c>
      <c r="N390" s="33" t="str">
        <f t="shared" si="44"/>
        <v/>
      </c>
      <c r="O390" s="33" t="str">
        <f t="shared" si="45"/>
        <v/>
      </c>
      <c r="P390" t="str">
        <f t="shared" si="46"/>
        <v/>
      </c>
      <c r="Q390" s="33" t="str">
        <f t="shared" si="47"/>
        <v/>
      </c>
      <c r="R390" s="39" t="str">
        <f t="shared" si="48"/>
        <v/>
      </c>
    </row>
    <row r="391" spans="6:18" x14ac:dyDescent="0.25">
      <c r="F391" s="35">
        <v>385</v>
      </c>
      <c r="L391" s="33" t="str">
        <f t="shared" si="42"/>
        <v/>
      </c>
      <c r="M391" t="str">
        <f t="shared" si="43"/>
        <v/>
      </c>
      <c r="N391" s="33" t="str">
        <f t="shared" si="44"/>
        <v/>
      </c>
      <c r="O391" s="33" t="str">
        <f t="shared" si="45"/>
        <v/>
      </c>
      <c r="P391" t="str">
        <f t="shared" si="46"/>
        <v/>
      </c>
      <c r="Q391" s="33" t="str">
        <f t="shared" si="47"/>
        <v/>
      </c>
      <c r="R391" s="39" t="str">
        <f t="shared" si="48"/>
        <v/>
      </c>
    </row>
    <row r="392" spans="6:18" x14ac:dyDescent="0.25">
      <c r="F392" s="35">
        <v>386</v>
      </c>
      <c r="L392" s="33" t="str">
        <f t="shared" ref="L392:L455" si="49">IF(G392="","",$C$4*$C$6*$C$7/360)</f>
        <v/>
      </c>
      <c r="M392" t="str">
        <f t="shared" ref="M392:M455" si="50">IF(G392="","",IF(H392=$G$2,100,0))</f>
        <v/>
      </c>
      <c r="N392" s="33" t="str">
        <f t="shared" ref="N392:N455" si="51">IF(G392="","",L392+M392)</f>
        <v/>
      </c>
      <c r="O392" s="33" t="str">
        <f t="shared" ref="O392:O455" si="52">IF(G392="","",1/(1+$C$5*K392/360)^(J392/K392))</f>
        <v/>
      </c>
      <c r="P392" t="str">
        <f t="shared" ref="P392:P455" si="53">IF(G392="","",H392-$C$12)</f>
        <v/>
      </c>
      <c r="Q392" s="33" t="str">
        <f t="shared" ref="Q392:Q455" si="54">IF(G392="","",(P392/K392))</f>
        <v/>
      </c>
      <c r="R392" s="39" t="str">
        <f t="shared" ref="R392:R455" si="55">IF(G392="","",N392*O392)</f>
        <v/>
      </c>
    </row>
    <row r="393" spans="6:18" x14ac:dyDescent="0.25">
      <c r="F393" s="35">
        <v>387</v>
      </c>
      <c r="L393" s="33" t="str">
        <f t="shared" si="49"/>
        <v/>
      </c>
      <c r="M393" t="str">
        <f t="shared" si="50"/>
        <v/>
      </c>
      <c r="N393" s="33" t="str">
        <f t="shared" si="51"/>
        <v/>
      </c>
      <c r="O393" s="33" t="str">
        <f t="shared" si="52"/>
        <v/>
      </c>
      <c r="P393" t="str">
        <f t="shared" si="53"/>
        <v/>
      </c>
      <c r="Q393" s="33" t="str">
        <f t="shared" si="54"/>
        <v/>
      </c>
      <c r="R393" s="39" t="str">
        <f t="shared" si="55"/>
        <v/>
      </c>
    </row>
    <row r="394" spans="6:18" x14ac:dyDescent="0.25">
      <c r="F394" s="35">
        <v>388</v>
      </c>
      <c r="L394" s="33" t="str">
        <f t="shared" si="49"/>
        <v/>
      </c>
      <c r="M394" t="str">
        <f t="shared" si="50"/>
        <v/>
      </c>
      <c r="N394" s="33" t="str">
        <f t="shared" si="51"/>
        <v/>
      </c>
      <c r="O394" s="33" t="str">
        <f t="shared" si="52"/>
        <v/>
      </c>
      <c r="P394" t="str">
        <f t="shared" si="53"/>
        <v/>
      </c>
      <c r="Q394" s="33" t="str">
        <f t="shared" si="54"/>
        <v/>
      </c>
      <c r="R394" s="39" t="str">
        <f t="shared" si="55"/>
        <v/>
      </c>
    </row>
    <row r="395" spans="6:18" x14ac:dyDescent="0.25">
      <c r="F395" s="35">
        <v>389</v>
      </c>
      <c r="L395" s="33" t="str">
        <f t="shared" si="49"/>
        <v/>
      </c>
      <c r="M395" t="str">
        <f t="shared" si="50"/>
        <v/>
      </c>
      <c r="N395" s="33" t="str">
        <f t="shared" si="51"/>
        <v/>
      </c>
      <c r="O395" s="33" t="str">
        <f t="shared" si="52"/>
        <v/>
      </c>
      <c r="P395" t="str">
        <f t="shared" si="53"/>
        <v/>
      </c>
      <c r="Q395" s="33" t="str">
        <f t="shared" si="54"/>
        <v/>
      </c>
      <c r="R395" s="39" t="str">
        <f t="shared" si="55"/>
        <v/>
      </c>
    </row>
    <row r="396" spans="6:18" x14ac:dyDescent="0.25">
      <c r="F396" s="35">
        <v>390</v>
      </c>
      <c r="L396" s="33" t="str">
        <f t="shared" si="49"/>
        <v/>
      </c>
      <c r="M396" t="str">
        <f t="shared" si="50"/>
        <v/>
      </c>
      <c r="N396" s="33" t="str">
        <f t="shared" si="51"/>
        <v/>
      </c>
      <c r="O396" s="33" t="str">
        <f t="shared" si="52"/>
        <v/>
      </c>
      <c r="P396" t="str">
        <f t="shared" si="53"/>
        <v/>
      </c>
      <c r="Q396" s="33" t="str">
        <f t="shared" si="54"/>
        <v/>
      </c>
      <c r="R396" s="39" t="str">
        <f t="shared" si="55"/>
        <v/>
      </c>
    </row>
    <row r="397" spans="6:18" x14ac:dyDescent="0.25">
      <c r="F397" s="35">
        <v>391</v>
      </c>
      <c r="L397" s="33" t="str">
        <f t="shared" si="49"/>
        <v/>
      </c>
      <c r="M397" t="str">
        <f t="shared" si="50"/>
        <v/>
      </c>
      <c r="N397" s="33" t="str">
        <f t="shared" si="51"/>
        <v/>
      </c>
      <c r="O397" s="33" t="str">
        <f t="shared" si="52"/>
        <v/>
      </c>
      <c r="P397" t="str">
        <f t="shared" si="53"/>
        <v/>
      </c>
      <c r="Q397" s="33" t="str">
        <f t="shared" si="54"/>
        <v/>
      </c>
      <c r="R397" s="39" t="str">
        <f t="shared" si="55"/>
        <v/>
      </c>
    </row>
    <row r="398" spans="6:18" x14ac:dyDescent="0.25">
      <c r="F398" s="35">
        <v>392</v>
      </c>
      <c r="L398" s="33" t="str">
        <f t="shared" si="49"/>
        <v/>
      </c>
      <c r="M398" t="str">
        <f t="shared" si="50"/>
        <v/>
      </c>
      <c r="N398" s="33" t="str">
        <f t="shared" si="51"/>
        <v/>
      </c>
      <c r="O398" s="33" t="str">
        <f t="shared" si="52"/>
        <v/>
      </c>
      <c r="P398" t="str">
        <f t="shared" si="53"/>
        <v/>
      </c>
      <c r="Q398" s="33" t="str">
        <f t="shared" si="54"/>
        <v/>
      </c>
      <c r="R398" s="39" t="str">
        <f t="shared" si="55"/>
        <v/>
      </c>
    </row>
    <row r="399" spans="6:18" x14ac:dyDescent="0.25">
      <c r="F399" s="35">
        <v>393</v>
      </c>
      <c r="L399" s="33" t="str">
        <f t="shared" si="49"/>
        <v/>
      </c>
      <c r="M399" t="str">
        <f t="shared" si="50"/>
        <v/>
      </c>
      <c r="N399" s="33" t="str">
        <f t="shared" si="51"/>
        <v/>
      </c>
      <c r="O399" s="33" t="str">
        <f t="shared" si="52"/>
        <v/>
      </c>
      <c r="P399" t="str">
        <f t="shared" si="53"/>
        <v/>
      </c>
      <c r="Q399" s="33" t="str">
        <f t="shared" si="54"/>
        <v/>
      </c>
      <c r="R399" s="39" t="str">
        <f t="shared" si="55"/>
        <v/>
      </c>
    </row>
    <row r="400" spans="6:18" x14ac:dyDescent="0.25">
      <c r="F400" s="35">
        <v>394</v>
      </c>
      <c r="L400" s="33" t="str">
        <f t="shared" si="49"/>
        <v/>
      </c>
      <c r="M400" t="str">
        <f t="shared" si="50"/>
        <v/>
      </c>
      <c r="N400" s="33" t="str">
        <f t="shared" si="51"/>
        <v/>
      </c>
      <c r="O400" s="33" t="str">
        <f t="shared" si="52"/>
        <v/>
      </c>
      <c r="P400" t="str">
        <f t="shared" si="53"/>
        <v/>
      </c>
      <c r="Q400" s="33" t="str">
        <f t="shared" si="54"/>
        <v/>
      </c>
      <c r="R400" s="39" t="str">
        <f t="shared" si="55"/>
        <v/>
      </c>
    </row>
    <row r="401" spans="6:18" x14ac:dyDescent="0.25">
      <c r="F401" s="35">
        <v>395</v>
      </c>
      <c r="L401" s="33" t="str">
        <f t="shared" si="49"/>
        <v/>
      </c>
      <c r="M401" t="str">
        <f t="shared" si="50"/>
        <v/>
      </c>
      <c r="N401" s="33" t="str">
        <f t="shared" si="51"/>
        <v/>
      </c>
      <c r="O401" s="33" t="str">
        <f t="shared" si="52"/>
        <v/>
      </c>
      <c r="P401" t="str">
        <f t="shared" si="53"/>
        <v/>
      </c>
      <c r="Q401" s="33" t="str">
        <f t="shared" si="54"/>
        <v/>
      </c>
      <c r="R401" s="39" t="str">
        <f t="shared" si="55"/>
        <v/>
      </c>
    </row>
    <row r="402" spans="6:18" x14ac:dyDescent="0.25">
      <c r="F402" s="35">
        <v>396</v>
      </c>
      <c r="L402" s="33" t="str">
        <f t="shared" si="49"/>
        <v/>
      </c>
      <c r="M402" t="str">
        <f t="shared" si="50"/>
        <v/>
      </c>
      <c r="N402" s="33" t="str">
        <f t="shared" si="51"/>
        <v/>
      </c>
      <c r="O402" s="33" t="str">
        <f t="shared" si="52"/>
        <v/>
      </c>
      <c r="P402" t="str">
        <f t="shared" si="53"/>
        <v/>
      </c>
      <c r="Q402" s="33" t="str">
        <f t="shared" si="54"/>
        <v/>
      </c>
      <c r="R402" s="39" t="str">
        <f t="shared" si="55"/>
        <v/>
      </c>
    </row>
    <row r="403" spans="6:18" x14ac:dyDescent="0.25">
      <c r="F403" s="35">
        <v>397</v>
      </c>
      <c r="L403" s="33" t="str">
        <f t="shared" si="49"/>
        <v/>
      </c>
      <c r="M403" t="str">
        <f t="shared" si="50"/>
        <v/>
      </c>
      <c r="N403" s="33" t="str">
        <f t="shared" si="51"/>
        <v/>
      </c>
      <c r="O403" s="33" t="str">
        <f t="shared" si="52"/>
        <v/>
      </c>
      <c r="P403" t="str">
        <f t="shared" si="53"/>
        <v/>
      </c>
      <c r="Q403" s="33" t="str">
        <f t="shared" si="54"/>
        <v/>
      </c>
      <c r="R403" s="39" t="str">
        <f t="shared" si="55"/>
        <v/>
      </c>
    </row>
    <row r="404" spans="6:18" x14ac:dyDescent="0.25">
      <c r="F404" s="35">
        <v>398</v>
      </c>
      <c r="L404" s="33" t="str">
        <f t="shared" si="49"/>
        <v/>
      </c>
      <c r="M404" t="str">
        <f t="shared" si="50"/>
        <v/>
      </c>
      <c r="N404" s="33" t="str">
        <f t="shared" si="51"/>
        <v/>
      </c>
      <c r="O404" s="33" t="str">
        <f t="shared" si="52"/>
        <v/>
      </c>
      <c r="P404" t="str">
        <f t="shared" si="53"/>
        <v/>
      </c>
      <c r="Q404" s="33" t="str">
        <f t="shared" si="54"/>
        <v/>
      </c>
      <c r="R404" s="39" t="str">
        <f t="shared" si="55"/>
        <v/>
      </c>
    </row>
    <row r="405" spans="6:18" x14ac:dyDescent="0.25">
      <c r="F405" s="35">
        <v>399</v>
      </c>
      <c r="L405" s="33" t="str">
        <f t="shared" si="49"/>
        <v/>
      </c>
      <c r="M405" t="str">
        <f t="shared" si="50"/>
        <v/>
      </c>
      <c r="N405" s="33" t="str">
        <f t="shared" si="51"/>
        <v/>
      </c>
      <c r="O405" s="33" t="str">
        <f t="shared" si="52"/>
        <v/>
      </c>
      <c r="P405" t="str">
        <f t="shared" si="53"/>
        <v/>
      </c>
      <c r="Q405" s="33" t="str">
        <f t="shared" si="54"/>
        <v/>
      </c>
      <c r="R405" s="39" t="str">
        <f t="shared" si="55"/>
        <v/>
      </c>
    </row>
    <row r="406" spans="6:18" x14ac:dyDescent="0.25">
      <c r="F406" s="35">
        <v>400</v>
      </c>
      <c r="L406" s="33" t="str">
        <f t="shared" si="49"/>
        <v/>
      </c>
      <c r="M406" t="str">
        <f t="shared" si="50"/>
        <v/>
      </c>
      <c r="N406" s="33" t="str">
        <f t="shared" si="51"/>
        <v/>
      </c>
      <c r="O406" s="33" t="str">
        <f t="shared" si="52"/>
        <v/>
      </c>
      <c r="P406" t="str">
        <f t="shared" si="53"/>
        <v/>
      </c>
      <c r="Q406" s="33" t="str">
        <f t="shared" si="54"/>
        <v/>
      </c>
      <c r="R406" s="39" t="str">
        <f t="shared" si="55"/>
        <v/>
      </c>
    </row>
    <row r="407" spans="6:18" x14ac:dyDescent="0.25">
      <c r="F407" s="35">
        <v>401</v>
      </c>
      <c r="L407" s="33" t="str">
        <f t="shared" si="49"/>
        <v/>
      </c>
      <c r="M407" t="str">
        <f t="shared" si="50"/>
        <v/>
      </c>
      <c r="N407" s="33" t="str">
        <f t="shared" si="51"/>
        <v/>
      </c>
      <c r="O407" s="33" t="str">
        <f t="shared" si="52"/>
        <v/>
      </c>
      <c r="P407" t="str">
        <f t="shared" si="53"/>
        <v/>
      </c>
      <c r="Q407" s="33" t="str">
        <f t="shared" si="54"/>
        <v/>
      </c>
      <c r="R407" s="39" t="str">
        <f t="shared" si="55"/>
        <v/>
      </c>
    </row>
    <row r="408" spans="6:18" x14ac:dyDescent="0.25">
      <c r="F408" s="35">
        <v>402</v>
      </c>
      <c r="L408" s="33" t="str">
        <f t="shared" si="49"/>
        <v/>
      </c>
      <c r="M408" t="str">
        <f t="shared" si="50"/>
        <v/>
      </c>
      <c r="N408" s="33" t="str">
        <f t="shared" si="51"/>
        <v/>
      </c>
      <c r="O408" s="33" t="str">
        <f t="shared" si="52"/>
        <v/>
      </c>
      <c r="P408" t="str">
        <f t="shared" si="53"/>
        <v/>
      </c>
      <c r="Q408" s="33" t="str">
        <f t="shared" si="54"/>
        <v/>
      </c>
      <c r="R408" s="39" t="str">
        <f t="shared" si="55"/>
        <v/>
      </c>
    </row>
    <row r="409" spans="6:18" x14ac:dyDescent="0.25">
      <c r="F409" s="35">
        <v>403</v>
      </c>
      <c r="L409" s="33" t="str">
        <f t="shared" si="49"/>
        <v/>
      </c>
      <c r="M409" t="str">
        <f t="shared" si="50"/>
        <v/>
      </c>
      <c r="N409" s="33" t="str">
        <f t="shared" si="51"/>
        <v/>
      </c>
      <c r="O409" s="33" t="str">
        <f t="shared" si="52"/>
        <v/>
      </c>
      <c r="P409" t="str">
        <f t="shared" si="53"/>
        <v/>
      </c>
      <c r="Q409" s="33" t="str">
        <f t="shared" si="54"/>
        <v/>
      </c>
      <c r="R409" s="39" t="str">
        <f t="shared" si="55"/>
        <v/>
      </c>
    </row>
    <row r="410" spans="6:18" x14ac:dyDescent="0.25">
      <c r="F410" s="35">
        <v>404</v>
      </c>
      <c r="L410" s="33" t="str">
        <f t="shared" si="49"/>
        <v/>
      </c>
      <c r="M410" t="str">
        <f t="shared" si="50"/>
        <v/>
      </c>
      <c r="N410" s="33" t="str">
        <f t="shared" si="51"/>
        <v/>
      </c>
      <c r="O410" s="33" t="str">
        <f t="shared" si="52"/>
        <v/>
      </c>
      <c r="P410" t="str">
        <f t="shared" si="53"/>
        <v/>
      </c>
      <c r="Q410" s="33" t="str">
        <f t="shared" si="54"/>
        <v/>
      </c>
      <c r="R410" s="39" t="str">
        <f t="shared" si="55"/>
        <v/>
      </c>
    </row>
    <row r="411" spans="6:18" x14ac:dyDescent="0.25">
      <c r="F411" s="35">
        <v>405</v>
      </c>
      <c r="L411" s="33" t="str">
        <f t="shared" si="49"/>
        <v/>
      </c>
      <c r="M411" t="str">
        <f t="shared" si="50"/>
        <v/>
      </c>
      <c r="N411" s="33" t="str">
        <f t="shared" si="51"/>
        <v/>
      </c>
      <c r="O411" s="33" t="str">
        <f t="shared" si="52"/>
        <v/>
      </c>
      <c r="P411" t="str">
        <f t="shared" si="53"/>
        <v/>
      </c>
      <c r="Q411" s="33" t="str">
        <f t="shared" si="54"/>
        <v/>
      </c>
      <c r="R411" s="39" t="str">
        <f t="shared" si="55"/>
        <v/>
      </c>
    </row>
    <row r="412" spans="6:18" x14ac:dyDescent="0.25">
      <c r="F412" s="35">
        <v>406</v>
      </c>
      <c r="L412" s="33" t="str">
        <f t="shared" si="49"/>
        <v/>
      </c>
      <c r="M412" t="str">
        <f t="shared" si="50"/>
        <v/>
      </c>
      <c r="N412" s="33" t="str">
        <f t="shared" si="51"/>
        <v/>
      </c>
      <c r="O412" s="33" t="str">
        <f t="shared" si="52"/>
        <v/>
      </c>
      <c r="P412" t="str">
        <f t="shared" si="53"/>
        <v/>
      </c>
      <c r="Q412" s="33" t="str">
        <f t="shared" si="54"/>
        <v/>
      </c>
      <c r="R412" s="39" t="str">
        <f t="shared" si="55"/>
        <v/>
      </c>
    </row>
    <row r="413" spans="6:18" x14ac:dyDescent="0.25">
      <c r="F413" s="35">
        <v>407</v>
      </c>
      <c r="L413" s="33" t="str">
        <f t="shared" si="49"/>
        <v/>
      </c>
      <c r="M413" t="str">
        <f t="shared" si="50"/>
        <v/>
      </c>
      <c r="N413" s="33" t="str">
        <f t="shared" si="51"/>
        <v/>
      </c>
      <c r="O413" s="33" t="str">
        <f t="shared" si="52"/>
        <v/>
      </c>
      <c r="P413" t="str">
        <f t="shared" si="53"/>
        <v/>
      </c>
      <c r="Q413" s="33" t="str">
        <f t="shared" si="54"/>
        <v/>
      </c>
      <c r="R413" s="39" t="str">
        <f t="shared" si="55"/>
        <v/>
      </c>
    </row>
    <row r="414" spans="6:18" x14ac:dyDescent="0.25">
      <c r="F414" s="35">
        <v>408</v>
      </c>
      <c r="L414" s="33" t="str">
        <f t="shared" si="49"/>
        <v/>
      </c>
      <c r="M414" t="str">
        <f t="shared" si="50"/>
        <v/>
      </c>
      <c r="N414" s="33" t="str">
        <f t="shared" si="51"/>
        <v/>
      </c>
      <c r="O414" s="33" t="str">
        <f t="shared" si="52"/>
        <v/>
      </c>
      <c r="P414" t="str">
        <f t="shared" si="53"/>
        <v/>
      </c>
      <c r="Q414" s="33" t="str">
        <f t="shared" si="54"/>
        <v/>
      </c>
      <c r="R414" s="39" t="str">
        <f t="shared" si="55"/>
        <v/>
      </c>
    </row>
    <row r="415" spans="6:18" x14ac:dyDescent="0.25">
      <c r="F415" s="35">
        <v>409</v>
      </c>
      <c r="L415" s="33" t="str">
        <f t="shared" si="49"/>
        <v/>
      </c>
      <c r="M415" t="str">
        <f t="shared" si="50"/>
        <v/>
      </c>
      <c r="N415" s="33" t="str">
        <f t="shared" si="51"/>
        <v/>
      </c>
      <c r="O415" s="33" t="str">
        <f t="shared" si="52"/>
        <v/>
      </c>
      <c r="P415" t="str">
        <f t="shared" si="53"/>
        <v/>
      </c>
      <c r="Q415" s="33" t="str">
        <f t="shared" si="54"/>
        <v/>
      </c>
      <c r="R415" s="39" t="str">
        <f t="shared" si="55"/>
        <v/>
      </c>
    </row>
    <row r="416" spans="6:18" x14ac:dyDescent="0.25">
      <c r="F416" s="35">
        <v>410</v>
      </c>
      <c r="L416" s="33" t="str">
        <f t="shared" si="49"/>
        <v/>
      </c>
      <c r="M416" t="str">
        <f t="shared" si="50"/>
        <v/>
      </c>
      <c r="N416" s="33" t="str">
        <f t="shared" si="51"/>
        <v/>
      </c>
      <c r="O416" s="33" t="str">
        <f t="shared" si="52"/>
        <v/>
      </c>
      <c r="P416" t="str">
        <f t="shared" si="53"/>
        <v/>
      </c>
      <c r="Q416" s="33" t="str">
        <f t="shared" si="54"/>
        <v/>
      </c>
      <c r="R416" s="39" t="str">
        <f t="shared" si="55"/>
        <v/>
      </c>
    </row>
    <row r="417" spans="6:18" x14ac:dyDescent="0.25">
      <c r="F417" s="35">
        <v>411</v>
      </c>
      <c r="L417" s="33" t="str">
        <f t="shared" si="49"/>
        <v/>
      </c>
      <c r="M417" t="str">
        <f t="shared" si="50"/>
        <v/>
      </c>
      <c r="N417" s="33" t="str">
        <f t="shared" si="51"/>
        <v/>
      </c>
      <c r="O417" s="33" t="str">
        <f t="shared" si="52"/>
        <v/>
      </c>
      <c r="P417" t="str">
        <f t="shared" si="53"/>
        <v/>
      </c>
      <c r="Q417" s="33" t="str">
        <f t="shared" si="54"/>
        <v/>
      </c>
      <c r="R417" s="39" t="str">
        <f t="shared" si="55"/>
        <v/>
      </c>
    </row>
    <row r="418" spans="6:18" x14ac:dyDescent="0.25">
      <c r="F418" s="35">
        <v>412</v>
      </c>
      <c r="L418" s="33" t="str">
        <f t="shared" si="49"/>
        <v/>
      </c>
      <c r="M418" t="str">
        <f t="shared" si="50"/>
        <v/>
      </c>
      <c r="N418" s="33" t="str">
        <f t="shared" si="51"/>
        <v/>
      </c>
      <c r="O418" s="33" t="str">
        <f t="shared" si="52"/>
        <v/>
      </c>
      <c r="P418" t="str">
        <f t="shared" si="53"/>
        <v/>
      </c>
      <c r="Q418" s="33" t="str">
        <f t="shared" si="54"/>
        <v/>
      </c>
      <c r="R418" s="39" t="str">
        <f t="shared" si="55"/>
        <v/>
      </c>
    </row>
    <row r="419" spans="6:18" x14ac:dyDescent="0.25">
      <c r="F419" s="35">
        <v>413</v>
      </c>
      <c r="L419" s="33" t="str">
        <f t="shared" si="49"/>
        <v/>
      </c>
      <c r="M419" t="str">
        <f t="shared" si="50"/>
        <v/>
      </c>
      <c r="N419" s="33" t="str">
        <f t="shared" si="51"/>
        <v/>
      </c>
      <c r="O419" s="33" t="str">
        <f t="shared" si="52"/>
        <v/>
      </c>
      <c r="P419" t="str">
        <f t="shared" si="53"/>
        <v/>
      </c>
      <c r="Q419" s="33" t="str">
        <f t="shared" si="54"/>
        <v/>
      </c>
      <c r="R419" s="39" t="str">
        <f t="shared" si="55"/>
        <v/>
      </c>
    </row>
    <row r="420" spans="6:18" x14ac:dyDescent="0.25">
      <c r="F420" s="35">
        <v>414</v>
      </c>
      <c r="L420" s="33" t="str">
        <f t="shared" si="49"/>
        <v/>
      </c>
      <c r="M420" t="str">
        <f t="shared" si="50"/>
        <v/>
      </c>
      <c r="N420" s="33" t="str">
        <f t="shared" si="51"/>
        <v/>
      </c>
      <c r="O420" s="33" t="str">
        <f t="shared" si="52"/>
        <v/>
      </c>
      <c r="P420" t="str">
        <f t="shared" si="53"/>
        <v/>
      </c>
      <c r="Q420" s="33" t="str">
        <f t="shared" si="54"/>
        <v/>
      </c>
      <c r="R420" s="39" t="str">
        <f t="shared" si="55"/>
        <v/>
      </c>
    </row>
    <row r="421" spans="6:18" x14ac:dyDescent="0.25">
      <c r="F421" s="35">
        <v>415</v>
      </c>
      <c r="L421" s="33" t="str">
        <f t="shared" si="49"/>
        <v/>
      </c>
      <c r="M421" t="str">
        <f t="shared" si="50"/>
        <v/>
      </c>
      <c r="N421" s="33" t="str">
        <f t="shared" si="51"/>
        <v/>
      </c>
      <c r="O421" s="33" t="str">
        <f t="shared" si="52"/>
        <v/>
      </c>
      <c r="P421" t="str">
        <f t="shared" si="53"/>
        <v/>
      </c>
      <c r="Q421" s="33" t="str">
        <f t="shared" si="54"/>
        <v/>
      </c>
      <c r="R421" s="39" t="str">
        <f t="shared" si="55"/>
        <v/>
      </c>
    </row>
    <row r="422" spans="6:18" x14ac:dyDescent="0.25">
      <c r="F422" s="35">
        <v>416</v>
      </c>
      <c r="L422" s="33" t="str">
        <f t="shared" si="49"/>
        <v/>
      </c>
      <c r="M422" t="str">
        <f t="shared" si="50"/>
        <v/>
      </c>
      <c r="N422" s="33" t="str">
        <f t="shared" si="51"/>
        <v/>
      </c>
      <c r="O422" s="33" t="str">
        <f t="shared" si="52"/>
        <v/>
      </c>
      <c r="P422" t="str">
        <f t="shared" si="53"/>
        <v/>
      </c>
      <c r="Q422" s="33" t="str">
        <f t="shared" si="54"/>
        <v/>
      </c>
      <c r="R422" s="39" t="str">
        <f t="shared" si="55"/>
        <v/>
      </c>
    </row>
    <row r="423" spans="6:18" x14ac:dyDescent="0.25">
      <c r="F423" s="35">
        <v>417</v>
      </c>
      <c r="L423" s="33" t="str">
        <f t="shared" si="49"/>
        <v/>
      </c>
      <c r="M423" t="str">
        <f t="shared" si="50"/>
        <v/>
      </c>
      <c r="N423" s="33" t="str">
        <f t="shared" si="51"/>
        <v/>
      </c>
      <c r="O423" s="33" t="str">
        <f t="shared" si="52"/>
        <v/>
      </c>
      <c r="P423" t="str">
        <f t="shared" si="53"/>
        <v/>
      </c>
      <c r="Q423" s="33" t="str">
        <f t="shared" si="54"/>
        <v/>
      </c>
      <c r="R423" s="39" t="str">
        <f t="shared" si="55"/>
        <v/>
      </c>
    </row>
    <row r="424" spans="6:18" x14ac:dyDescent="0.25">
      <c r="F424" s="35">
        <v>418</v>
      </c>
      <c r="L424" s="33" t="str">
        <f t="shared" si="49"/>
        <v/>
      </c>
      <c r="M424" t="str">
        <f t="shared" si="50"/>
        <v/>
      </c>
      <c r="N424" s="33" t="str">
        <f t="shared" si="51"/>
        <v/>
      </c>
      <c r="O424" s="33" t="str">
        <f t="shared" si="52"/>
        <v/>
      </c>
      <c r="P424" t="str">
        <f t="shared" si="53"/>
        <v/>
      </c>
      <c r="Q424" s="33" t="str">
        <f t="shared" si="54"/>
        <v/>
      </c>
      <c r="R424" s="39" t="str">
        <f t="shared" si="55"/>
        <v/>
      </c>
    </row>
    <row r="425" spans="6:18" x14ac:dyDescent="0.25">
      <c r="F425" s="35">
        <v>419</v>
      </c>
      <c r="L425" s="33" t="str">
        <f t="shared" si="49"/>
        <v/>
      </c>
      <c r="M425" t="str">
        <f t="shared" si="50"/>
        <v/>
      </c>
      <c r="N425" s="33" t="str">
        <f t="shared" si="51"/>
        <v/>
      </c>
      <c r="O425" s="33" t="str">
        <f t="shared" si="52"/>
        <v/>
      </c>
      <c r="P425" t="str">
        <f t="shared" si="53"/>
        <v/>
      </c>
      <c r="Q425" s="33" t="str">
        <f t="shared" si="54"/>
        <v/>
      </c>
      <c r="R425" s="39" t="str">
        <f t="shared" si="55"/>
        <v/>
      </c>
    </row>
    <row r="426" spans="6:18" x14ac:dyDescent="0.25">
      <c r="F426" s="35">
        <v>420</v>
      </c>
      <c r="L426" s="33" t="str">
        <f t="shared" si="49"/>
        <v/>
      </c>
      <c r="M426" t="str">
        <f t="shared" si="50"/>
        <v/>
      </c>
      <c r="N426" s="33" t="str">
        <f t="shared" si="51"/>
        <v/>
      </c>
      <c r="O426" s="33" t="str">
        <f t="shared" si="52"/>
        <v/>
      </c>
      <c r="P426" t="str">
        <f t="shared" si="53"/>
        <v/>
      </c>
      <c r="Q426" s="33" t="str">
        <f t="shared" si="54"/>
        <v/>
      </c>
      <c r="R426" s="39" t="str">
        <f t="shared" si="55"/>
        <v/>
      </c>
    </row>
    <row r="427" spans="6:18" x14ac:dyDescent="0.25">
      <c r="F427" s="35">
        <v>421</v>
      </c>
      <c r="L427" s="33" t="str">
        <f t="shared" si="49"/>
        <v/>
      </c>
      <c r="M427" t="str">
        <f t="shared" si="50"/>
        <v/>
      </c>
      <c r="N427" s="33" t="str">
        <f t="shared" si="51"/>
        <v/>
      </c>
      <c r="O427" s="33" t="str">
        <f t="shared" si="52"/>
        <v/>
      </c>
      <c r="P427" t="str">
        <f t="shared" si="53"/>
        <v/>
      </c>
      <c r="Q427" s="33" t="str">
        <f t="shared" si="54"/>
        <v/>
      </c>
      <c r="R427" s="39" t="str">
        <f t="shared" si="55"/>
        <v/>
      </c>
    </row>
    <row r="428" spans="6:18" x14ac:dyDescent="0.25">
      <c r="F428" s="35">
        <v>422</v>
      </c>
      <c r="L428" s="33" t="str">
        <f t="shared" si="49"/>
        <v/>
      </c>
      <c r="M428" t="str">
        <f t="shared" si="50"/>
        <v/>
      </c>
      <c r="N428" s="33" t="str">
        <f t="shared" si="51"/>
        <v/>
      </c>
      <c r="O428" s="33" t="str">
        <f t="shared" si="52"/>
        <v/>
      </c>
      <c r="P428" t="str">
        <f t="shared" si="53"/>
        <v/>
      </c>
      <c r="Q428" s="33" t="str">
        <f t="shared" si="54"/>
        <v/>
      </c>
      <c r="R428" s="39" t="str">
        <f t="shared" si="55"/>
        <v/>
      </c>
    </row>
    <row r="429" spans="6:18" x14ac:dyDescent="0.25">
      <c r="F429" s="35">
        <v>423</v>
      </c>
      <c r="L429" s="33" t="str">
        <f t="shared" si="49"/>
        <v/>
      </c>
      <c r="M429" t="str">
        <f t="shared" si="50"/>
        <v/>
      </c>
      <c r="N429" s="33" t="str">
        <f t="shared" si="51"/>
        <v/>
      </c>
      <c r="O429" s="33" t="str">
        <f t="shared" si="52"/>
        <v/>
      </c>
      <c r="P429" t="str">
        <f t="shared" si="53"/>
        <v/>
      </c>
      <c r="Q429" s="33" t="str">
        <f t="shared" si="54"/>
        <v/>
      </c>
      <c r="R429" s="39" t="str">
        <f t="shared" si="55"/>
        <v/>
      </c>
    </row>
    <row r="430" spans="6:18" x14ac:dyDescent="0.25">
      <c r="F430" s="35">
        <v>424</v>
      </c>
      <c r="L430" s="33" t="str">
        <f t="shared" si="49"/>
        <v/>
      </c>
      <c r="M430" t="str">
        <f t="shared" si="50"/>
        <v/>
      </c>
      <c r="N430" s="33" t="str">
        <f t="shared" si="51"/>
        <v/>
      </c>
      <c r="O430" s="33" t="str">
        <f t="shared" si="52"/>
        <v/>
      </c>
      <c r="P430" t="str">
        <f t="shared" si="53"/>
        <v/>
      </c>
      <c r="Q430" s="33" t="str">
        <f t="shared" si="54"/>
        <v/>
      </c>
      <c r="R430" s="39" t="str">
        <f t="shared" si="55"/>
        <v/>
      </c>
    </row>
    <row r="431" spans="6:18" x14ac:dyDescent="0.25">
      <c r="F431" s="35">
        <v>425</v>
      </c>
      <c r="L431" s="33" t="str">
        <f t="shared" si="49"/>
        <v/>
      </c>
      <c r="M431" t="str">
        <f t="shared" si="50"/>
        <v/>
      </c>
      <c r="N431" s="33" t="str">
        <f t="shared" si="51"/>
        <v/>
      </c>
      <c r="O431" s="33" t="str">
        <f t="shared" si="52"/>
        <v/>
      </c>
      <c r="P431" t="str">
        <f t="shared" si="53"/>
        <v/>
      </c>
      <c r="Q431" s="33" t="str">
        <f t="shared" si="54"/>
        <v/>
      </c>
      <c r="R431" s="39" t="str">
        <f t="shared" si="55"/>
        <v/>
      </c>
    </row>
    <row r="432" spans="6:18" x14ac:dyDescent="0.25">
      <c r="F432" s="35">
        <v>426</v>
      </c>
      <c r="L432" s="33" t="str">
        <f t="shared" si="49"/>
        <v/>
      </c>
      <c r="M432" t="str">
        <f t="shared" si="50"/>
        <v/>
      </c>
      <c r="N432" s="33" t="str">
        <f t="shared" si="51"/>
        <v/>
      </c>
      <c r="O432" s="33" t="str">
        <f t="shared" si="52"/>
        <v/>
      </c>
      <c r="P432" t="str">
        <f t="shared" si="53"/>
        <v/>
      </c>
      <c r="Q432" s="33" t="str">
        <f t="shared" si="54"/>
        <v/>
      </c>
      <c r="R432" s="39" t="str">
        <f t="shared" si="55"/>
        <v/>
      </c>
    </row>
    <row r="433" spans="6:18" x14ac:dyDescent="0.25">
      <c r="F433" s="35">
        <v>427</v>
      </c>
      <c r="L433" s="33" t="str">
        <f t="shared" si="49"/>
        <v/>
      </c>
      <c r="M433" t="str">
        <f t="shared" si="50"/>
        <v/>
      </c>
      <c r="N433" s="33" t="str">
        <f t="shared" si="51"/>
        <v/>
      </c>
      <c r="O433" s="33" t="str">
        <f t="shared" si="52"/>
        <v/>
      </c>
      <c r="P433" t="str">
        <f t="shared" si="53"/>
        <v/>
      </c>
      <c r="Q433" s="33" t="str">
        <f t="shared" si="54"/>
        <v/>
      </c>
      <c r="R433" s="39" t="str">
        <f t="shared" si="55"/>
        <v/>
      </c>
    </row>
    <row r="434" spans="6:18" x14ac:dyDescent="0.25">
      <c r="F434" s="35">
        <v>428</v>
      </c>
      <c r="L434" s="33" t="str">
        <f t="shared" si="49"/>
        <v/>
      </c>
      <c r="M434" t="str">
        <f t="shared" si="50"/>
        <v/>
      </c>
      <c r="N434" s="33" t="str">
        <f t="shared" si="51"/>
        <v/>
      </c>
      <c r="O434" s="33" t="str">
        <f t="shared" si="52"/>
        <v/>
      </c>
      <c r="P434" t="str">
        <f t="shared" si="53"/>
        <v/>
      </c>
      <c r="Q434" s="33" t="str">
        <f t="shared" si="54"/>
        <v/>
      </c>
      <c r="R434" s="39" t="str">
        <f t="shared" si="55"/>
        <v/>
      </c>
    </row>
    <row r="435" spans="6:18" x14ac:dyDescent="0.25">
      <c r="F435" s="35">
        <v>429</v>
      </c>
      <c r="L435" s="33" t="str">
        <f t="shared" si="49"/>
        <v/>
      </c>
      <c r="M435" t="str">
        <f t="shared" si="50"/>
        <v/>
      </c>
      <c r="N435" s="33" t="str">
        <f t="shared" si="51"/>
        <v/>
      </c>
      <c r="O435" s="33" t="str">
        <f t="shared" si="52"/>
        <v/>
      </c>
      <c r="P435" t="str">
        <f t="shared" si="53"/>
        <v/>
      </c>
      <c r="Q435" s="33" t="str">
        <f t="shared" si="54"/>
        <v/>
      </c>
      <c r="R435" s="39" t="str">
        <f t="shared" si="55"/>
        <v/>
      </c>
    </row>
    <row r="436" spans="6:18" x14ac:dyDescent="0.25">
      <c r="F436" s="35">
        <v>430</v>
      </c>
      <c r="L436" s="33" t="str">
        <f t="shared" si="49"/>
        <v/>
      </c>
      <c r="M436" t="str">
        <f t="shared" si="50"/>
        <v/>
      </c>
      <c r="N436" s="33" t="str">
        <f t="shared" si="51"/>
        <v/>
      </c>
      <c r="O436" s="33" t="str">
        <f t="shared" si="52"/>
        <v/>
      </c>
      <c r="P436" t="str">
        <f t="shared" si="53"/>
        <v/>
      </c>
      <c r="Q436" s="33" t="str">
        <f t="shared" si="54"/>
        <v/>
      </c>
      <c r="R436" s="39" t="str">
        <f t="shared" si="55"/>
        <v/>
      </c>
    </row>
    <row r="437" spans="6:18" x14ac:dyDescent="0.25">
      <c r="F437" s="35">
        <v>431</v>
      </c>
      <c r="L437" s="33" t="str">
        <f t="shared" si="49"/>
        <v/>
      </c>
      <c r="M437" t="str">
        <f t="shared" si="50"/>
        <v/>
      </c>
      <c r="N437" s="33" t="str">
        <f t="shared" si="51"/>
        <v/>
      </c>
      <c r="O437" s="33" t="str">
        <f t="shared" si="52"/>
        <v/>
      </c>
      <c r="P437" t="str">
        <f t="shared" si="53"/>
        <v/>
      </c>
      <c r="Q437" s="33" t="str">
        <f t="shared" si="54"/>
        <v/>
      </c>
      <c r="R437" s="39" t="str">
        <f t="shared" si="55"/>
        <v/>
      </c>
    </row>
    <row r="438" spans="6:18" x14ac:dyDescent="0.25">
      <c r="F438" s="35">
        <v>432</v>
      </c>
      <c r="L438" s="33" t="str">
        <f t="shared" si="49"/>
        <v/>
      </c>
      <c r="M438" t="str">
        <f t="shared" si="50"/>
        <v/>
      </c>
      <c r="N438" s="33" t="str">
        <f t="shared" si="51"/>
        <v/>
      </c>
      <c r="O438" s="33" t="str">
        <f t="shared" si="52"/>
        <v/>
      </c>
      <c r="P438" t="str">
        <f t="shared" si="53"/>
        <v/>
      </c>
      <c r="Q438" s="33" t="str">
        <f t="shared" si="54"/>
        <v/>
      </c>
      <c r="R438" s="39" t="str">
        <f t="shared" si="55"/>
        <v/>
      </c>
    </row>
    <row r="439" spans="6:18" x14ac:dyDescent="0.25">
      <c r="F439" s="35">
        <v>433</v>
      </c>
      <c r="L439" s="33" t="str">
        <f t="shared" si="49"/>
        <v/>
      </c>
      <c r="M439" t="str">
        <f t="shared" si="50"/>
        <v/>
      </c>
      <c r="N439" s="33" t="str">
        <f t="shared" si="51"/>
        <v/>
      </c>
      <c r="O439" s="33" t="str">
        <f t="shared" si="52"/>
        <v/>
      </c>
      <c r="P439" t="str">
        <f t="shared" si="53"/>
        <v/>
      </c>
      <c r="Q439" s="33" t="str">
        <f t="shared" si="54"/>
        <v/>
      </c>
      <c r="R439" s="39" t="str">
        <f t="shared" si="55"/>
        <v/>
      </c>
    </row>
    <row r="440" spans="6:18" x14ac:dyDescent="0.25">
      <c r="F440" s="35">
        <v>434</v>
      </c>
      <c r="L440" s="33" t="str">
        <f t="shared" si="49"/>
        <v/>
      </c>
      <c r="M440" t="str">
        <f t="shared" si="50"/>
        <v/>
      </c>
      <c r="N440" s="33" t="str">
        <f t="shared" si="51"/>
        <v/>
      </c>
      <c r="O440" s="33" t="str">
        <f t="shared" si="52"/>
        <v/>
      </c>
      <c r="P440" t="str">
        <f t="shared" si="53"/>
        <v/>
      </c>
      <c r="Q440" s="33" t="str">
        <f t="shared" si="54"/>
        <v/>
      </c>
      <c r="R440" s="39" t="str">
        <f t="shared" si="55"/>
        <v/>
      </c>
    </row>
    <row r="441" spans="6:18" x14ac:dyDescent="0.25">
      <c r="F441" s="35">
        <v>435</v>
      </c>
      <c r="L441" s="33" t="str">
        <f t="shared" si="49"/>
        <v/>
      </c>
      <c r="M441" t="str">
        <f t="shared" si="50"/>
        <v/>
      </c>
      <c r="N441" s="33" t="str">
        <f t="shared" si="51"/>
        <v/>
      </c>
      <c r="O441" s="33" t="str">
        <f t="shared" si="52"/>
        <v/>
      </c>
      <c r="P441" t="str">
        <f t="shared" si="53"/>
        <v/>
      </c>
      <c r="Q441" s="33" t="str">
        <f t="shared" si="54"/>
        <v/>
      </c>
      <c r="R441" s="39" t="str">
        <f t="shared" si="55"/>
        <v/>
      </c>
    </row>
    <row r="442" spans="6:18" x14ac:dyDescent="0.25">
      <c r="F442" s="35">
        <v>436</v>
      </c>
      <c r="L442" s="33" t="str">
        <f t="shared" si="49"/>
        <v/>
      </c>
      <c r="M442" t="str">
        <f t="shared" si="50"/>
        <v/>
      </c>
      <c r="N442" s="33" t="str">
        <f t="shared" si="51"/>
        <v/>
      </c>
      <c r="O442" s="33" t="str">
        <f t="shared" si="52"/>
        <v/>
      </c>
      <c r="P442" t="str">
        <f t="shared" si="53"/>
        <v/>
      </c>
      <c r="Q442" s="33" t="str">
        <f t="shared" si="54"/>
        <v/>
      </c>
      <c r="R442" s="39" t="str">
        <f t="shared" si="55"/>
        <v/>
      </c>
    </row>
    <row r="443" spans="6:18" x14ac:dyDescent="0.25">
      <c r="F443" s="35">
        <v>437</v>
      </c>
      <c r="L443" s="33" t="str">
        <f t="shared" si="49"/>
        <v/>
      </c>
      <c r="M443" t="str">
        <f t="shared" si="50"/>
        <v/>
      </c>
      <c r="N443" s="33" t="str">
        <f t="shared" si="51"/>
        <v/>
      </c>
      <c r="O443" s="33" t="str">
        <f t="shared" si="52"/>
        <v/>
      </c>
      <c r="P443" t="str">
        <f t="shared" si="53"/>
        <v/>
      </c>
      <c r="Q443" s="33" t="str">
        <f t="shared" si="54"/>
        <v/>
      </c>
      <c r="R443" s="39" t="str">
        <f t="shared" si="55"/>
        <v/>
      </c>
    </row>
    <row r="444" spans="6:18" x14ac:dyDescent="0.25">
      <c r="F444" s="35">
        <v>438</v>
      </c>
      <c r="L444" s="33" t="str">
        <f t="shared" si="49"/>
        <v/>
      </c>
      <c r="M444" t="str">
        <f t="shared" si="50"/>
        <v/>
      </c>
      <c r="N444" s="33" t="str">
        <f t="shared" si="51"/>
        <v/>
      </c>
      <c r="O444" s="33" t="str">
        <f t="shared" si="52"/>
        <v/>
      </c>
      <c r="P444" t="str">
        <f t="shared" si="53"/>
        <v/>
      </c>
      <c r="Q444" s="33" t="str">
        <f t="shared" si="54"/>
        <v/>
      </c>
      <c r="R444" s="39" t="str">
        <f t="shared" si="55"/>
        <v/>
      </c>
    </row>
    <row r="445" spans="6:18" x14ac:dyDescent="0.25">
      <c r="F445" s="35">
        <v>439</v>
      </c>
      <c r="L445" s="33" t="str">
        <f t="shared" si="49"/>
        <v/>
      </c>
      <c r="M445" t="str">
        <f t="shared" si="50"/>
        <v/>
      </c>
      <c r="N445" s="33" t="str">
        <f t="shared" si="51"/>
        <v/>
      </c>
      <c r="O445" s="33" t="str">
        <f t="shared" si="52"/>
        <v/>
      </c>
      <c r="P445" t="str">
        <f t="shared" si="53"/>
        <v/>
      </c>
      <c r="Q445" s="33" t="str">
        <f t="shared" si="54"/>
        <v/>
      </c>
      <c r="R445" s="39" t="str">
        <f t="shared" si="55"/>
        <v/>
      </c>
    </row>
    <row r="446" spans="6:18" x14ac:dyDescent="0.25">
      <c r="F446" s="35">
        <v>440</v>
      </c>
      <c r="L446" s="33" t="str">
        <f t="shared" si="49"/>
        <v/>
      </c>
      <c r="M446" t="str">
        <f t="shared" si="50"/>
        <v/>
      </c>
      <c r="N446" s="33" t="str">
        <f t="shared" si="51"/>
        <v/>
      </c>
      <c r="O446" s="33" t="str">
        <f t="shared" si="52"/>
        <v/>
      </c>
      <c r="P446" t="str">
        <f t="shared" si="53"/>
        <v/>
      </c>
      <c r="Q446" s="33" t="str">
        <f t="shared" si="54"/>
        <v/>
      </c>
      <c r="R446" s="39" t="str">
        <f t="shared" si="55"/>
        <v/>
      </c>
    </row>
    <row r="447" spans="6:18" x14ac:dyDescent="0.25">
      <c r="F447" s="35">
        <v>441</v>
      </c>
      <c r="L447" s="33" t="str">
        <f t="shared" si="49"/>
        <v/>
      </c>
      <c r="M447" t="str">
        <f t="shared" si="50"/>
        <v/>
      </c>
      <c r="N447" s="33" t="str">
        <f t="shared" si="51"/>
        <v/>
      </c>
      <c r="O447" s="33" t="str">
        <f t="shared" si="52"/>
        <v/>
      </c>
      <c r="P447" t="str">
        <f t="shared" si="53"/>
        <v/>
      </c>
      <c r="Q447" s="33" t="str">
        <f t="shared" si="54"/>
        <v/>
      </c>
      <c r="R447" s="39" t="str">
        <f t="shared" si="55"/>
        <v/>
      </c>
    </row>
    <row r="448" spans="6:18" x14ac:dyDescent="0.25">
      <c r="F448" s="35">
        <v>442</v>
      </c>
      <c r="L448" s="33" t="str">
        <f t="shared" si="49"/>
        <v/>
      </c>
      <c r="M448" t="str">
        <f t="shared" si="50"/>
        <v/>
      </c>
      <c r="N448" s="33" t="str">
        <f t="shared" si="51"/>
        <v/>
      </c>
      <c r="O448" s="33" t="str">
        <f t="shared" si="52"/>
        <v/>
      </c>
      <c r="P448" t="str">
        <f t="shared" si="53"/>
        <v/>
      </c>
      <c r="Q448" s="33" t="str">
        <f t="shared" si="54"/>
        <v/>
      </c>
      <c r="R448" s="39" t="str">
        <f t="shared" si="55"/>
        <v/>
      </c>
    </row>
    <row r="449" spans="6:18" x14ac:dyDescent="0.25">
      <c r="F449" s="35">
        <v>443</v>
      </c>
      <c r="L449" s="33" t="str">
        <f t="shared" si="49"/>
        <v/>
      </c>
      <c r="M449" t="str">
        <f t="shared" si="50"/>
        <v/>
      </c>
      <c r="N449" s="33" t="str">
        <f t="shared" si="51"/>
        <v/>
      </c>
      <c r="O449" s="33" t="str">
        <f t="shared" si="52"/>
        <v/>
      </c>
      <c r="P449" t="str">
        <f t="shared" si="53"/>
        <v/>
      </c>
      <c r="Q449" s="33" t="str">
        <f t="shared" si="54"/>
        <v/>
      </c>
      <c r="R449" s="39" t="str">
        <f t="shared" si="55"/>
        <v/>
      </c>
    </row>
    <row r="450" spans="6:18" x14ac:dyDescent="0.25">
      <c r="F450" s="35">
        <v>444</v>
      </c>
      <c r="L450" s="33" t="str">
        <f t="shared" si="49"/>
        <v/>
      </c>
      <c r="M450" t="str">
        <f t="shared" si="50"/>
        <v/>
      </c>
      <c r="N450" s="33" t="str">
        <f t="shared" si="51"/>
        <v/>
      </c>
      <c r="O450" s="33" t="str">
        <f t="shared" si="52"/>
        <v/>
      </c>
      <c r="P450" t="str">
        <f t="shared" si="53"/>
        <v/>
      </c>
      <c r="Q450" s="33" t="str">
        <f t="shared" si="54"/>
        <v/>
      </c>
      <c r="R450" s="39" t="str">
        <f t="shared" si="55"/>
        <v/>
      </c>
    </row>
    <row r="451" spans="6:18" x14ac:dyDescent="0.25">
      <c r="F451" s="35">
        <v>445</v>
      </c>
      <c r="L451" s="33" t="str">
        <f t="shared" si="49"/>
        <v/>
      </c>
      <c r="M451" t="str">
        <f t="shared" si="50"/>
        <v/>
      </c>
      <c r="N451" s="33" t="str">
        <f t="shared" si="51"/>
        <v/>
      </c>
      <c r="O451" s="33" t="str">
        <f t="shared" si="52"/>
        <v/>
      </c>
      <c r="P451" t="str">
        <f t="shared" si="53"/>
        <v/>
      </c>
      <c r="Q451" s="33" t="str">
        <f t="shared" si="54"/>
        <v/>
      </c>
      <c r="R451" s="39" t="str">
        <f t="shared" si="55"/>
        <v/>
      </c>
    </row>
    <row r="452" spans="6:18" x14ac:dyDescent="0.25">
      <c r="F452" s="35">
        <v>446</v>
      </c>
      <c r="L452" s="33" t="str">
        <f t="shared" si="49"/>
        <v/>
      </c>
      <c r="M452" t="str">
        <f t="shared" si="50"/>
        <v/>
      </c>
      <c r="N452" s="33" t="str">
        <f t="shared" si="51"/>
        <v/>
      </c>
      <c r="O452" s="33" t="str">
        <f t="shared" si="52"/>
        <v/>
      </c>
      <c r="P452" t="str">
        <f t="shared" si="53"/>
        <v/>
      </c>
      <c r="Q452" s="33" t="str">
        <f t="shared" si="54"/>
        <v/>
      </c>
      <c r="R452" s="39" t="str">
        <f t="shared" si="55"/>
        <v/>
      </c>
    </row>
    <row r="453" spans="6:18" x14ac:dyDescent="0.25">
      <c r="F453" s="35">
        <v>447</v>
      </c>
      <c r="L453" s="33" t="str">
        <f t="shared" si="49"/>
        <v/>
      </c>
      <c r="M453" t="str">
        <f t="shared" si="50"/>
        <v/>
      </c>
      <c r="N453" s="33" t="str">
        <f t="shared" si="51"/>
        <v/>
      </c>
      <c r="O453" s="33" t="str">
        <f t="shared" si="52"/>
        <v/>
      </c>
      <c r="P453" t="str">
        <f t="shared" si="53"/>
        <v/>
      </c>
      <c r="Q453" s="33" t="str">
        <f t="shared" si="54"/>
        <v/>
      </c>
      <c r="R453" s="39" t="str">
        <f t="shared" si="55"/>
        <v/>
      </c>
    </row>
    <row r="454" spans="6:18" x14ac:dyDescent="0.25">
      <c r="F454" s="35">
        <v>448</v>
      </c>
      <c r="L454" s="33" t="str">
        <f t="shared" si="49"/>
        <v/>
      </c>
      <c r="M454" t="str">
        <f t="shared" si="50"/>
        <v/>
      </c>
      <c r="N454" s="33" t="str">
        <f t="shared" si="51"/>
        <v/>
      </c>
      <c r="O454" s="33" t="str">
        <f t="shared" si="52"/>
        <v/>
      </c>
      <c r="P454" t="str">
        <f t="shared" si="53"/>
        <v/>
      </c>
      <c r="Q454" s="33" t="str">
        <f t="shared" si="54"/>
        <v/>
      </c>
      <c r="R454" s="39" t="str">
        <f t="shared" si="55"/>
        <v/>
      </c>
    </row>
    <row r="455" spans="6:18" x14ac:dyDescent="0.25">
      <c r="F455" s="35">
        <v>449</v>
      </c>
      <c r="L455" s="33" t="str">
        <f t="shared" si="49"/>
        <v/>
      </c>
      <c r="M455" t="str">
        <f t="shared" si="50"/>
        <v/>
      </c>
      <c r="N455" s="33" t="str">
        <f t="shared" si="51"/>
        <v/>
      </c>
      <c r="O455" s="33" t="str">
        <f t="shared" si="52"/>
        <v/>
      </c>
      <c r="P455" t="str">
        <f t="shared" si="53"/>
        <v/>
      </c>
      <c r="Q455" s="33" t="str">
        <f t="shared" si="54"/>
        <v/>
      </c>
      <c r="R455" s="39" t="str">
        <f t="shared" si="55"/>
        <v/>
      </c>
    </row>
    <row r="456" spans="6:18" x14ac:dyDescent="0.25">
      <c r="F456" s="35">
        <v>450</v>
      </c>
      <c r="L456" s="33" t="str">
        <f t="shared" ref="L456:L519" si="56">IF(G456="","",$C$4*$C$6*$C$7/360)</f>
        <v/>
      </c>
      <c r="M456" t="str">
        <f t="shared" ref="M456:M519" si="57">IF(G456="","",IF(H456=$G$2,100,0))</f>
        <v/>
      </c>
      <c r="N456" s="33" t="str">
        <f t="shared" ref="N456:N519" si="58">IF(G456="","",L456+M456)</f>
        <v/>
      </c>
      <c r="O456" s="33" t="str">
        <f t="shared" ref="O456:O519" si="59">IF(G456="","",1/(1+$C$5*K456/360)^(J456/K456))</f>
        <v/>
      </c>
      <c r="P456" t="str">
        <f t="shared" ref="P456:P519" si="60">IF(G456="","",H456-$C$12)</f>
        <v/>
      </c>
      <c r="Q456" s="33" t="str">
        <f t="shared" ref="Q456:Q519" si="61">IF(G456="","",(P456/K456))</f>
        <v/>
      </c>
      <c r="R456" s="39" t="str">
        <f t="shared" ref="R456:R519" si="62">IF(G456="","",N456*O456)</f>
        <v/>
      </c>
    </row>
    <row r="457" spans="6:18" x14ac:dyDescent="0.25">
      <c r="F457" s="35">
        <v>451</v>
      </c>
      <c r="L457" s="33" t="str">
        <f t="shared" si="56"/>
        <v/>
      </c>
      <c r="M457" t="str">
        <f t="shared" si="57"/>
        <v/>
      </c>
      <c r="N457" s="33" t="str">
        <f t="shared" si="58"/>
        <v/>
      </c>
      <c r="O457" s="33" t="str">
        <f t="shared" si="59"/>
        <v/>
      </c>
      <c r="P457" t="str">
        <f t="shared" si="60"/>
        <v/>
      </c>
      <c r="Q457" s="33" t="str">
        <f t="shared" si="61"/>
        <v/>
      </c>
      <c r="R457" s="39" t="str">
        <f t="shared" si="62"/>
        <v/>
      </c>
    </row>
    <row r="458" spans="6:18" x14ac:dyDescent="0.25">
      <c r="F458" s="35">
        <v>452</v>
      </c>
      <c r="L458" s="33" t="str">
        <f t="shared" si="56"/>
        <v/>
      </c>
      <c r="M458" t="str">
        <f t="shared" si="57"/>
        <v/>
      </c>
      <c r="N458" s="33" t="str">
        <f t="shared" si="58"/>
        <v/>
      </c>
      <c r="O458" s="33" t="str">
        <f t="shared" si="59"/>
        <v/>
      </c>
      <c r="P458" t="str">
        <f t="shared" si="60"/>
        <v/>
      </c>
      <c r="Q458" s="33" t="str">
        <f t="shared" si="61"/>
        <v/>
      </c>
      <c r="R458" s="39" t="str">
        <f t="shared" si="62"/>
        <v/>
      </c>
    </row>
    <row r="459" spans="6:18" x14ac:dyDescent="0.25">
      <c r="F459" s="35">
        <v>453</v>
      </c>
      <c r="L459" s="33" t="str">
        <f t="shared" si="56"/>
        <v/>
      </c>
      <c r="M459" t="str">
        <f t="shared" si="57"/>
        <v/>
      </c>
      <c r="N459" s="33" t="str">
        <f t="shared" si="58"/>
        <v/>
      </c>
      <c r="O459" s="33" t="str">
        <f t="shared" si="59"/>
        <v/>
      </c>
      <c r="P459" t="str">
        <f t="shared" si="60"/>
        <v/>
      </c>
      <c r="Q459" s="33" t="str">
        <f t="shared" si="61"/>
        <v/>
      </c>
      <c r="R459" s="39" t="str">
        <f t="shared" si="62"/>
        <v/>
      </c>
    </row>
    <row r="460" spans="6:18" x14ac:dyDescent="0.25">
      <c r="F460" s="35">
        <v>454</v>
      </c>
      <c r="L460" s="33" t="str">
        <f t="shared" si="56"/>
        <v/>
      </c>
      <c r="M460" t="str">
        <f t="shared" si="57"/>
        <v/>
      </c>
      <c r="N460" s="33" t="str">
        <f t="shared" si="58"/>
        <v/>
      </c>
      <c r="O460" s="33" t="str">
        <f t="shared" si="59"/>
        <v/>
      </c>
      <c r="P460" t="str">
        <f t="shared" si="60"/>
        <v/>
      </c>
      <c r="Q460" s="33" t="str">
        <f t="shared" si="61"/>
        <v/>
      </c>
      <c r="R460" s="39" t="str">
        <f t="shared" si="62"/>
        <v/>
      </c>
    </row>
    <row r="461" spans="6:18" x14ac:dyDescent="0.25">
      <c r="F461" s="35">
        <v>455</v>
      </c>
      <c r="L461" s="33" t="str">
        <f t="shared" si="56"/>
        <v/>
      </c>
      <c r="M461" t="str">
        <f t="shared" si="57"/>
        <v/>
      </c>
      <c r="N461" s="33" t="str">
        <f t="shared" si="58"/>
        <v/>
      </c>
      <c r="O461" s="33" t="str">
        <f t="shared" si="59"/>
        <v/>
      </c>
      <c r="P461" t="str">
        <f t="shared" si="60"/>
        <v/>
      </c>
      <c r="Q461" s="33" t="str">
        <f t="shared" si="61"/>
        <v/>
      </c>
      <c r="R461" s="39" t="str">
        <f t="shared" si="62"/>
        <v/>
      </c>
    </row>
    <row r="462" spans="6:18" x14ac:dyDescent="0.25">
      <c r="F462" s="35">
        <v>456</v>
      </c>
      <c r="L462" s="33" t="str">
        <f t="shared" si="56"/>
        <v/>
      </c>
      <c r="M462" t="str">
        <f t="shared" si="57"/>
        <v/>
      </c>
      <c r="N462" s="33" t="str">
        <f t="shared" si="58"/>
        <v/>
      </c>
      <c r="O462" s="33" t="str">
        <f t="shared" si="59"/>
        <v/>
      </c>
      <c r="P462" t="str">
        <f t="shared" si="60"/>
        <v/>
      </c>
      <c r="Q462" s="33" t="str">
        <f t="shared" si="61"/>
        <v/>
      </c>
      <c r="R462" s="39" t="str">
        <f t="shared" si="62"/>
        <v/>
      </c>
    </row>
    <row r="463" spans="6:18" x14ac:dyDescent="0.25">
      <c r="F463" s="35">
        <v>457</v>
      </c>
      <c r="L463" s="33" t="str">
        <f t="shared" si="56"/>
        <v/>
      </c>
      <c r="M463" t="str">
        <f t="shared" si="57"/>
        <v/>
      </c>
      <c r="N463" s="33" t="str">
        <f t="shared" si="58"/>
        <v/>
      </c>
      <c r="O463" s="33" t="str">
        <f t="shared" si="59"/>
        <v/>
      </c>
      <c r="P463" t="str">
        <f t="shared" si="60"/>
        <v/>
      </c>
      <c r="Q463" s="33" t="str">
        <f t="shared" si="61"/>
        <v/>
      </c>
      <c r="R463" s="39" t="str">
        <f t="shared" si="62"/>
        <v/>
      </c>
    </row>
    <row r="464" spans="6:18" x14ac:dyDescent="0.25">
      <c r="F464" s="35">
        <v>458</v>
      </c>
      <c r="L464" s="33" t="str">
        <f t="shared" si="56"/>
        <v/>
      </c>
      <c r="M464" t="str">
        <f t="shared" si="57"/>
        <v/>
      </c>
      <c r="N464" s="33" t="str">
        <f t="shared" si="58"/>
        <v/>
      </c>
      <c r="O464" s="33" t="str">
        <f t="shared" si="59"/>
        <v/>
      </c>
      <c r="P464" t="str">
        <f t="shared" si="60"/>
        <v/>
      </c>
      <c r="Q464" s="33" t="str">
        <f t="shared" si="61"/>
        <v/>
      </c>
      <c r="R464" s="39" t="str">
        <f t="shared" si="62"/>
        <v/>
      </c>
    </row>
    <row r="465" spans="6:18" x14ac:dyDescent="0.25">
      <c r="F465" s="35">
        <v>459</v>
      </c>
      <c r="L465" s="33" t="str">
        <f t="shared" si="56"/>
        <v/>
      </c>
      <c r="M465" t="str">
        <f t="shared" si="57"/>
        <v/>
      </c>
      <c r="N465" s="33" t="str">
        <f t="shared" si="58"/>
        <v/>
      </c>
      <c r="O465" s="33" t="str">
        <f t="shared" si="59"/>
        <v/>
      </c>
      <c r="P465" t="str">
        <f t="shared" si="60"/>
        <v/>
      </c>
      <c r="Q465" s="33" t="str">
        <f t="shared" si="61"/>
        <v/>
      </c>
      <c r="R465" s="39" t="str">
        <f t="shared" si="62"/>
        <v/>
      </c>
    </row>
    <row r="466" spans="6:18" x14ac:dyDescent="0.25">
      <c r="F466" s="35">
        <v>460</v>
      </c>
      <c r="L466" s="33" t="str">
        <f t="shared" si="56"/>
        <v/>
      </c>
      <c r="M466" t="str">
        <f t="shared" si="57"/>
        <v/>
      </c>
      <c r="N466" s="33" t="str">
        <f t="shared" si="58"/>
        <v/>
      </c>
      <c r="O466" s="33" t="str">
        <f t="shared" si="59"/>
        <v/>
      </c>
      <c r="P466" t="str">
        <f t="shared" si="60"/>
        <v/>
      </c>
      <c r="Q466" s="33" t="str">
        <f t="shared" si="61"/>
        <v/>
      </c>
      <c r="R466" s="39" t="str">
        <f t="shared" si="62"/>
        <v/>
      </c>
    </row>
    <row r="467" spans="6:18" x14ac:dyDescent="0.25">
      <c r="F467" s="35">
        <v>461</v>
      </c>
      <c r="L467" s="33" t="str">
        <f t="shared" si="56"/>
        <v/>
      </c>
      <c r="M467" t="str">
        <f t="shared" si="57"/>
        <v/>
      </c>
      <c r="N467" s="33" t="str">
        <f t="shared" si="58"/>
        <v/>
      </c>
      <c r="O467" s="33" t="str">
        <f t="shared" si="59"/>
        <v/>
      </c>
      <c r="P467" t="str">
        <f t="shared" si="60"/>
        <v/>
      </c>
      <c r="Q467" s="33" t="str">
        <f t="shared" si="61"/>
        <v/>
      </c>
      <c r="R467" s="39" t="str">
        <f t="shared" si="62"/>
        <v/>
      </c>
    </row>
    <row r="468" spans="6:18" x14ac:dyDescent="0.25">
      <c r="F468" s="35">
        <v>462</v>
      </c>
      <c r="L468" s="33" t="str">
        <f t="shared" si="56"/>
        <v/>
      </c>
      <c r="M468" t="str">
        <f t="shared" si="57"/>
        <v/>
      </c>
      <c r="N468" s="33" t="str">
        <f t="shared" si="58"/>
        <v/>
      </c>
      <c r="O468" s="33" t="str">
        <f t="shared" si="59"/>
        <v/>
      </c>
      <c r="P468" t="str">
        <f t="shared" si="60"/>
        <v/>
      </c>
      <c r="Q468" s="33" t="str">
        <f t="shared" si="61"/>
        <v/>
      </c>
      <c r="R468" s="39" t="str">
        <f t="shared" si="62"/>
        <v/>
      </c>
    </row>
    <row r="469" spans="6:18" x14ac:dyDescent="0.25">
      <c r="F469" s="35">
        <v>463</v>
      </c>
      <c r="L469" s="33" t="str">
        <f t="shared" si="56"/>
        <v/>
      </c>
      <c r="M469" t="str">
        <f t="shared" si="57"/>
        <v/>
      </c>
      <c r="N469" s="33" t="str">
        <f t="shared" si="58"/>
        <v/>
      </c>
      <c r="O469" s="33" t="str">
        <f t="shared" si="59"/>
        <v/>
      </c>
      <c r="P469" t="str">
        <f t="shared" si="60"/>
        <v/>
      </c>
      <c r="Q469" s="33" t="str">
        <f t="shared" si="61"/>
        <v/>
      </c>
      <c r="R469" s="39" t="str">
        <f t="shared" si="62"/>
        <v/>
      </c>
    </row>
    <row r="470" spans="6:18" x14ac:dyDescent="0.25">
      <c r="F470" s="35">
        <v>464</v>
      </c>
      <c r="L470" s="33" t="str">
        <f t="shared" si="56"/>
        <v/>
      </c>
      <c r="M470" t="str">
        <f t="shared" si="57"/>
        <v/>
      </c>
      <c r="N470" s="33" t="str">
        <f t="shared" si="58"/>
        <v/>
      </c>
      <c r="O470" s="33" t="str">
        <f t="shared" si="59"/>
        <v/>
      </c>
      <c r="P470" t="str">
        <f t="shared" si="60"/>
        <v/>
      </c>
      <c r="Q470" s="33" t="str">
        <f t="shared" si="61"/>
        <v/>
      </c>
      <c r="R470" s="39" t="str">
        <f t="shared" si="62"/>
        <v/>
      </c>
    </row>
    <row r="471" spans="6:18" x14ac:dyDescent="0.25">
      <c r="F471" s="35">
        <v>465</v>
      </c>
      <c r="L471" s="33" t="str">
        <f t="shared" si="56"/>
        <v/>
      </c>
      <c r="M471" t="str">
        <f t="shared" si="57"/>
        <v/>
      </c>
      <c r="N471" s="33" t="str">
        <f t="shared" si="58"/>
        <v/>
      </c>
      <c r="O471" s="33" t="str">
        <f t="shared" si="59"/>
        <v/>
      </c>
      <c r="P471" t="str">
        <f t="shared" si="60"/>
        <v/>
      </c>
      <c r="Q471" s="33" t="str">
        <f t="shared" si="61"/>
        <v/>
      </c>
      <c r="R471" s="39" t="str">
        <f t="shared" si="62"/>
        <v/>
      </c>
    </row>
    <row r="472" spans="6:18" x14ac:dyDescent="0.25">
      <c r="F472" s="35">
        <v>466</v>
      </c>
      <c r="L472" s="33" t="str">
        <f t="shared" si="56"/>
        <v/>
      </c>
      <c r="M472" t="str">
        <f t="shared" si="57"/>
        <v/>
      </c>
      <c r="N472" s="33" t="str">
        <f t="shared" si="58"/>
        <v/>
      </c>
      <c r="O472" s="33" t="str">
        <f t="shared" si="59"/>
        <v/>
      </c>
      <c r="P472" t="str">
        <f t="shared" si="60"/>
        <v/>
      </c>
      <c r="Q472" s="33" t="str">
        <f t="shared" si="61"/>
        <v/>
      </c>
      <c r="R472" s="39" t="str">
        <f t="shared" si="62"/>
        <v/>
      </c>
    </row>
    <row r="473" spans="6:18" x14ac:dyDescent="0.25">
      <c r="F473" s="35">
        <v>467</v>
      </c>
      <c r="L473" s="33" t="str">
        <f t="shared" si="56"/>
        <v/>
      </c>
      <c r="M473" t="str">
        <f t="shared" si="57"/>
        <v/>
      </c>
      <c r="N473" s="33" t="str">
        <f t="shared" si="58"/>
        <v/>
      </c>
      <c r="O473" s="33" t="str">
        <f t="shared" si="59"/>
        <v/>
      </c>
      <c r="P473" t="str">
        <f t="shared" si="60"/>
        <v/>
      </c>
      <c r="Q473" s="33" t="str">
        <f t="shared" si="61"/>
        <v/>
      </c>
      <c r="R473" s="39" t="str">
        <f t="shared" si="62"/>
        <v/>
      </c>
    </row>
    <row r="474" spans="6:18" x14ac:dyDescent="0.25">
      <c r="F474" s="35">
        <v>468</v>
      </c>
      <c r="L474" s="33" t="str">
        <f t="shared" si="56"/>
        <v/>
      </c>
      <c r="M474" t="str">
        <f t="shared" si="57"/>
        <v/>
      </c>
      <c r="N474" s="33" t="str">
        <f t="shared" si="58"/>
        <v/>
      </c>
      <c r="O474" s="33" t="str">
        <f t="shared" si="59"/>
        <v/>
      </c>
      <c r="P474" t="str">
        <f t="shared" si="60"/>
        <v/>
      </c>
      <c r="Q474" s="33" t="str">
        <f t="shared" si="61"/>
        <v/>
      </c>
      <c r="R474" s="39" t="str">
        <f t="shared" si="62"/>
        <v/>
      </c>
    </row>
    <row r="475" spans="6:18" x14ac:dyDescent="0.25">
      <c r="F475" s="35">
        <v>469</v>
      </c>
      <c r="L475" s="33" t="str">
        <f t="shared" si="56"/>
        <v/>
      </c>
      <c r="M475" t="str">
        <f t="shared" si="57"/>
        <v/>
      </c>
      <c r="N475" s="33" t="str">
        <f t="shared" si="58"/>
        <v/>
      </c>
      <c r="O475" s="33" t="str">
        <f t="shared" si="59"/>
        <v/>
      </c>
      <c r="P475" t="str">
        <f t="shared" si="60"/>
        <v/>
      </c>
      <c r="Q475" s="33" t="str">
        <f t="shared" si="61"/>
        <v/>
      </c>
      <c r="R475" s="39" t="str">
        <f t="shared" si="62"/>
        <v/>
      </c>
    </row>
    <row r="476" spans="6:18" x14ac:dyDescent="0.25">
      <c r="F476" s="35">
        <v>470</v>
      </c>
      <c r="L476" s="33" t="str">
        <f t="shared" si="56"/>
        <v/>
      </c>
      <c r="M476" t="str">
        <f t="shared" si="57"/>
        <v/>
      </c>
      <c r="N476" s="33" t="str">
        <f t="shared" si="58"/>
        <v/>
      </c>
      <c r="O476" s="33" t="str">
        <f t="shared" si="59"/>
        <v/>
      </c>
      <c r="P476" t="str">
        <f t="shared" si="60"/>
        <v/>
      </c>
      <c r="Q476" s="33" t="str">
        <f t="shared" si="61"/>
        <v/>
      </c>
      <c r="R476" s="39" t="str">
        <f t="shared" si="62"/>
        <v/>
      </c>
    </row>
    <row r="477" spans="6:18" x14ac:dyDescent="0.25">
      <c r="F477" s="35">
        <v>471</v>
      </c>
      <c r="L477" s="33" t="str">
        <f t="shared" si="56"/>
        <v/>
      </c>
      <c r="M477" t="str">
        <f t="shared" si="57"/>
        <v/>
      </c>
      <c r="N477" s="33" t="str">
        <f t="shared" si="58"/>
        <v/>
      </c>
      <c r="O477" s="33" t="str">
        <f t="shared" si="59"/>
        <v/>
      </c>
      <c r="P477" t="str">
        <f t="shared" si="60"/>
        <v/>
      </c>
      <c r="Q477" s="33" t="str">
        <f t="shared" si="61"/>
        <v/>
      </c>
      <c r="R477" s="39" t="str">
        <f t="shared" si="62"/>
        <v/>
      </c>
    </row>
    <row r="478" spans="6:18" x14ac:dyDescent="0.25">
      <c r="F478" s="35">
        <v>472</v>
      </c>
      <c r="L478" s="33" t="str">
        <f t="shared" si="56"/>
        <v/>
      </c>
      <c r="M478" t="str">
        <f t="shared" si="57"/>
        <v/>
      </c>
      <c r="N478" s="33" t="str">
        <f t="shared" si="58"/>
        <v/>
      </c>
      <c r="O478" s="33" t="str">
        <f t="shared" si="59"/>
        <v/>
      </c>
      <c r="P478" t="str">
        <f t="shared" si="60"/>
        <v/>
      </c>
      <c r="Q478" s="33" t="str">
        <f t="shared" si="61"/>
        <v/>
      </c>
      <c r="R478" s="39" t="str">
        <f t="shared" si="62"/>
        <v/>
      </c>
    </row>
    <row r="479" spans="6:18" x14ac:dyDescent="0.25">
      <c r="F479" s="35">
        <v>473</v>
      </c>
      <c r="L479" s="33" t="str">
        <f t="shared" si="56"/>
        <v/>
      </c>
      <c r="M479" t="str">
        <f t="shared" si="57"/>
        <v/>
      </c>
      <c r="N479" s="33" t="str">
        <f t="shared" si="58"/>
        <v/>
      </c>
      <c r="O479" s="33" t="str">
        <f t="shared" si="59"/>
        <v/>
      </c>
      <c r="P479" t="str">
        <f t="shared" si="60"/>
        <v/>
      </c>
      <c r="Q479" s="33" t="str">
        <f t="shared" si="61"/>
        <v/>
      </c>
      <c r="R479" s="39" t="str">
        <f t="shared" si="62"/>
        <v/>
      </c>
    </row>
    <row r="480" spans="6:18" x14ac:dyDescent="0.25">
      <c r="F480" s="35">
        <v>474</v>
      </c>
      <c r="L480" s="33" t="str">
        <f t="shared" si="56"/>
        <v/>
      </c>
      <c r="M480" t="str">
        <f t="shared" si="57"/>
        <v/>
      </c>
      <c r="N480" s="33" t="str">
        <f t="shared" si="58"/>
        <v/>
      </c>
      <c r="O480" s="33" t="str">
        <f t="shared" si="59"/>
        <v/>
      </c>
      <c r="P480" t="str">
        <f t="shared" si="60"/>
        <v/>
      </c>
      <c r="Q480" s="33" t="str">
        <f t="shared" si="61"/>
        <v/>
      </c>
      <c r="R480" s="39" t="str">
        <f t="shared" si="62"/>
        <v/>
      </c>
    </row>
    <row r="481" spans="6:18" x14ac:dyDescent="0.25">
      <c r="F481" s="35">
        <v>475</v>
      </c>
      <c r="L481" s="33" t="str">
        <f t="shared" si="56"/>
        <v/>
      </c>
      <c r="M481" t="str">
        <f t="shared" si="57"/>
        <v/>
      </c>
      <c r="N481" s="33" t="str">
        <f t="shared" si="58"/>
        <v/>
      </c>
      <c r="O481" s="33" t="str">
        <f t="shared" si="59"/>
        <v/>
      </c>
      <c r="P481" t="str">
        <f t="shared" si="60"/>
        <v/>
      </c>
      <c r="Q481" s="33" t="str">
        <f t="shared" si="61"/>
        <v/>
      </c>
      <c r="R481" s="39" t="str">
        <f t="shared" si="62"/>
        <v/>
      </c>
    </row>
    <row r="482" spans="6:18" x14ac:dyDescent="0.25">
      <c r="F482" s="35">
        <v>476</v>
      </c>
      <c r="L482" s="33" t="str">
        <f t="shared" si="56"/>
        <v/>
      </c>
      <c r="M482" t="str">
        <f t="shared" si="57"/>
        <v/>
      </c>
      <c r="N482" s="33" t="str">
        <f t="shared" si="58"/>
        <v/>
      </c>
      <c r="O482" s="33" t="str">
        <f t="shared" si="59"/>
        <v/>
      </c>
      <c r="P482" t="str">
        <f t="shared" si="60"/>
        <v/>
      </c>
      <c r="Q482" s="33" t="str">
        <f t="shared" si="61"/>
        <v/>
      </c>
      <c r="R482" s="39" t="str">
        <f t="shared" si="62"/>
        <v/>
      </c>
    </row>
    <row r="483" spans="6:18" x14ac:dyDescent="0.25">
      <c r="F483" s="35">
        <v>477</v>
      </c>
      <c r="L483" s="33" t="str">
        <f t="shared" si="56"/>
        <v/>
      </c>
      <c r="M483" t="str">
        <f t="shared" si="57"/>
        <v/>
      </c>
      <c r="N483" s="33" t="str">
        <f t="shared" si="58"/>
        <v/>
      </c>
      <c r="O483" s="33" t="str">
        <f t="shared" si="59"/>
        <v/>
      </c>
      <c r="P483" t="str">
        <f t="shared" si="60"/>
        <v/>
      </c>
      <c r="Q483" s="33" t="str">
        <f t="shared" si="61"/>
        <v/>
      </c>
      <c r="R483" s="39" t="str">
        <f t="shared" si="62"/>
        <v/>
      </c>
    </row>
    <row r="484" spans="6:18" x14ac:dyDescent="0.25">
      <c r="F484" s="35">
        <v>478</v>
      </c>
      <c r="L484" s="33" t="str">
        <f t="shared" si="56"/>
        <v/>
      </c>
      <c r="M484" t="str">
        <f t="shared" si="57"/>
        <v/>
      </c>
      <c r="N484" s="33" t="str">
        <f t="shared" si="58"/>
        <v/>
      </c>
      <c r="O484" s="33" t="str">
        <f t="shared" si="59"/>
        <v/>
      </c>
      <c r="P484" t="str">
        <f t="shared" si="60"/>
        <v/>
      </c>
      <c r="Q484" s="33" t="str">
        <f t="shared" si="61"/>
        <v/>
      </c>
      <c r="R484" s="39" t="str">
        <f t="shared" si="62"/>
        <v/>
      </c>
    </row>
    <row r="485" spans="6:18" x14ac:dyDescent="0.25">
      <c r="F485" s="35">
        <v>479</v>
      </c>
      <c r="L485" s="33" t="str">
        <f t="shared" si="56"/>
        <v/>
      </c>
      <c r="M485" t="str">
        <f t="shared" si="57"/>
        <v/>
      </c>
      <c r="N485" s="33" t="str">
        <f t="shared" si="58"/>
        <v/>
      </c>
      <c r="O485" s="33" t="str">
        <f t="shared" si="59"/>
        <v/>
      </c>
      <c r="P485" t="str">
        <f t="shared" si="60"/>
        <v/>
      </c>
      <c r="Q485" s="33" t="str">
        <f t="shared" si="61"/>
        <v/>
      </c>
      <c r="R485" s="39" t="str">
        <f t="shared" si="62"/>
        <v/>
      </c>
    </row>
    <row r="486" spans="6:18" x14ac:dyDescent="0.25">
      <c r="F486" s="35">
        <v>480</v>
      </c>
      <c r="L486" s="33" t="str">
        <f t="shared" si="56"/>
        <v/>
      </c>
      <c r="M486" t="str">
        <f t="shared" si="57"/>
        <v/>
      </c>
      <c r="N486" s="33" t="str">
        <f t="shared" si="58"/>
        <v/>
      </c>
      <c r="O486" s="33" t="str">
        <f t="shared" si="59"/>
        <v/>
      </c>
      <c r="P486" t="str">
        <f t="shared" si="60"/>
        <v/>
      </c>
      <c r="Q486" s="33" t="str">
        <f t="shared" si="61"/>
        <v/>
      </c>
      <c r="R486" s="39" t="str">
        <f t="shared" si="62"/>
        <v/>
      </c>
    </row>
    <row r="487" spans="6:18" x14ac:dyDescent="0.25">
      <c r="F487" s="35">
        <v>481</v>
      </c>
      <c r="L487" s="33" t="str">
        <f t="shared" si="56"/>
        <v/>
      </c>
      <c r="M487" t="str">
        <f t="shared" si="57"/>
        <v/>
      </c>
      <c r="N487" s="33" t="str">
        <f t="shared" si="58"/>
        <v/>
      </c>
      <c r="O487" s="33" t="str">
        <f t="shared" si="59"/>
        <v/>
      </c>
      <c r="P487" t="str">
        <f t="shared" si="60"/>
        <v/>
      </c>
      <c r="Q487" s="33" t="str">
        <f t="shared" si="61"/>
        <v/>
      </c>
      <c r="R487" s="39" t="str">
        <f t="shared" si="62"/>
        <v/>
      </c>
    </row>
    <row r="488" spans="6:18" x14ac:dyDescent="0.25">
      <c r="F488" s="35">
        <v>482</v>
      </c>
      <c r="L488" s="33" t="str">
        <f t="shared" si="56"/>
        <v/>
      </c>
      <c r="M488" t="str">
        <f t="shared" si="57"/>
        <v/>
      </c>
      <c r="N488" s="33" t="str">
        <f t="shared" si="58"/>
        <v/>
      </c>
      <c r="O488" s="33" t="str">
        <f t="shared" si="59"/>
        <v/>
      </c>
      <c r="P488" t="str">
        <f t="shared" si="60"/>
        <v/>
      </c>
      <c r="Q488" s="33" t="str">
        <f t="shared" si="61"/>
        <v/>
      </c>
      <c r="R488" s="39" t="str">
        <f t="shared" si="62"/>
        <v/>
      </c>
    </row>
    <row r="489" spans="6:18" x14ac:dyDescent="0.25">
      <c r="F489" s="35">
        <v>483</v>
      </c>
      <c r="L489" s="33" t="str">
        <f t="shared" si="56"/>
        <v/>
      </c>
      <c r="M489" t="str">
        <f t="shared" si="57"/>
        <v/>
      </c>
      <c r="N489" s="33" t="str">
        <f t="shared" si="58"/>
        <v/>
      </c>
      <c r="O489" s="33" t="str">
        <f t="shared" si="59"/>
        <v/>
      </c>
      <c r="P489" t="str">
        <f t="shared" si="60"/>
        <v/>
      </c>
      <c r="Q489" s="33" t="str">
        <f t="shared" si="61"/>
        <v/>
      </c>
      <c r="R489" s="39" t="str">
        <f t="shared" si="62"/>
        <v/>
      </c>
    </row>
    <row r="490" spans="6:18" x14ac:dyDescent="0.25">
      <c r="F490" s="35">
        <v>484</v>
      </c>
      <c r="L490" s="33" t="str">
        <f t="shared" si="56"/>
        <v/>
      </c>
      <c r="M490" t="str">
        <f t="shared" si="57"/>
        <v/>
      </c>
      <c r="N490" s="33" t="str">
        <f t="shared" si="58"/>
        <v/>
      </c>
      <c r="O490" s="33" t="str">
        <f t="shared" si="59"/>
        <v/>
      </c>
      <c r="P490" t="str">
        <f t="shared" si="60"/>
        <v/>
      </c>
      <c r="Q490" s="33" t="str">
        <f t="shared" si="61"/>
        <v/>
      </c>
      <c r="R490" s="39" t="str">
        <f t="shared" si="62"/>
        <v/>
      </c>
    </row>
    <row r="491" spans="6:18" x14ac:dyDescent="0.25">
      <c r="F491" s="35">
        <v>485</v>
      </c>
      <c r="L491" s="33" t="str">
        <f t="shared" si="56"/>
        <v/>
      </c>
      <c r="M491" t="str">
        <f t="shared" si="57"/>
        <v/>
      </c>
      <c r="N491" s="33" t="str">
        <f t="shared" si="58"/>
        <v/>
      </c>
      <c r="O491" s="33" t="str">
        <f t="shared" si="59"/>
        <v/>
      </c>
      <c r="P491" t="str">
        <f t="shared" si="60"/>
        <v/>
      </c>
      <c r="Q491" s="33" t="str">
        <f t="shared" si="61"/>
        <v/>
      </c>
      <c r="R491" s="39" t="str">
        <f t="shared" si="62"/>
        <v/>
      </c>
    </row>
    <row r="492" spans="6:18" x14ac:dyDescent="0.25">
      <c r="F492" s="35">
        <v>486</v>
      </c>
      <c r="L492" s="33" t="str">
        <f t="shared" si="56"/>
        <v/>
      </c>
      <c r="M492" t="str">
        <f t="shared" si="57"/>
        <v/>
      </c>
      <c r="N492" s="33" t="str">
        <f t="shared" si="58"/>
        <v/>
      </c>
      <c r="O492" s="33" t="str">
        <f t="shared" si="59"/>
        <v/>
      </c>
      <c r="P492" t="str">
        <f t="shared" si="60"/>
        <v/>
      </c>
      <c r="Q492" s="33" t="str">
        <f t="shared" si="61"/>
        <v/>
      </c>
      <c r="R492" s="39" t="str">
        <f t="shared" si="62"/>
        <v/>
      </c>
    </row>
    <row r="493" spans="6:18" x14ac:dyDescent="0.25">
      <c r="F493" s="35">
        <v>487</v>
      </c>
      <c r="L493" s="33" t="str">
        <f t="shared" si="56"/>
        <v/>
      </c>
      <c r="M493" t="str">
        <f t="shared" si="57"/>
        <v/>
      </c>
      <c r="N493" s="33" t="str">
        <f t="shared" si="58"/>
        <v/>
      </c>
      <c r="O493" s="33" t="str">
        <f t="shared" si="59"/>
        <v/>
      </c>
      <c r="P493" t="str">
        <f t="shared" si="60"/>
        <v/>
      </c>
      <c r="Q493" s="33" t="str">
        <f t="shared" si="61"/>
        <v/>
      </c>
      <c r="R493" s="39" t="str">
        <f t="shared" si="62"/>
        <v/>
      </c>
    </row>
    <row r="494" spans="6:18" x14ac:dyDescent="0.25">
      <c r="F494" s="35">
        <v>488</v>
      </c>
      <c r="L494" s="33" t="str">
        <f t="shared" si="56"/>
        <v/>
      </c>
      <c r="M494" t="str">
        <f t="shared" si="57"/>
        <v/>
      </c>
      <c r="N494" s="33" t="str">
        <f t="shared" si="58"/>
        <v/>
      </c>
      <c r="O494" s="33" t="str">
        <f t="shared" si="59"/>
        <v/>
      </c>
      <c r="P494" t="str">
        <f t="shared" si="60"/>
        <v/>
      </c>
      <c r="Q494" s="33" t="str">
        <f t="shared" si="61"/>
        <v/>
      </c>
      <c r="R494" s="39" t="str">
        <f t="shared" si="62"/>
        <v/>
      </c>
    </row>
    <row r="495" spans="6:18" x14ac:dyDescent="0.25">
      <c r="F495" s="35">
        <v>489</v>
      </c>
      <c r="L495" s="33" t="str">
        <f t="shared" si="56"/>
        <v/>
      </c>
      <c r="M495" t="str">
        <f t="shared" si="57"/>
        <v/>
      </c>
      <c r="N495" s="33" t="str">
        <f t="shared" si="58"/>
        <v/>
      </c>
      <c r="O495" s="33" t="str">
        <f t="shared" si="59"/>
        <v/>
      </c>
      <c r="P495" t="str">
        <f t="shared" si="60"/>
        <v/>
      </c>
      <c r="Q495" s="33" t="str">
        <f t="shared" si="61"/>
        <v/>
      </c>
      <c r="R495" s="39" t="str">
        <f t="shared" si="62"/>
        <v/>
      </c>
    </row>
    <row r="496" spans="6:18" x14ac:dyDescent="0.25">
      <c r="F496" s="35">
        <v>490</v>
      </c>
      <c r="L496" s="33" t="str">
        <f t="shared" si="56"/>
        <v/>
      </c>
      <c r="M496" t="str">
        <f t="shared" si="57"/>
        <v/>
      </c>
      <c r="N496" s="33" t="str">
        <f t="shared" si="58"/>
        <v/>
      </c>
      <c r="O496" s="33" t="str">
        <f t="shared" si="59"/>
        <v/>
      </c>
      <c r="P496" t="str">
        <f t="shared" si="60"/>
        <v/>
      </c>
      <c r="Q496" s="33" t="str">
        <f t="shared" si="61"/>
        <v/>
      </c>
      <c r="R496" s="39" t="str">
        <f t="shared" si="62"/>
        <v/>
      </c>
    </row>
    <row r="497" spans="6:18" x14ac:dyDescent="0.25">
      <c r="F497" s="35">
        <v>491</v>
      </c>
      <c r="L497" s="33" t="str">
        <f t="shared" si="56"/>
        <v/>
      </c>
      <c r="M497" t="str">
        <f t="shared" si="57"/>
        <v/>
      </c>
      <c r="N497" s="33" t="str">
        <f t="shared" si="58"/>
        <v/>
      </c>
      <c r="O497" s="33" t="str">
        <f t="shared" si="59"/>
        <v/>
      </c>
      <c r="P497" t="str">
        <f t="shared" si="60"/>
        <v/>
      </c>
      <c r="Q497" s="33" t="str">
        <f t="shared" si="61"/>
        <v/>
      </c>
      <c r="R497" s="39" t="str">
        <f t="shared" si="62"/>
        <v/>
      </c>
    </row>
    <row r="498" spans="6:18" x14ac:dyDescent="0.25">
      <c r="F498" s="35">
        <v>492</v>
      </c>
      <c r="L498" s="33" t="str">
        <f t="shared" si="56"/>
        <v/>
      </c>
      <c r="M498" t="str">
        <f t="shared" si="57"/>
        <v/>
      </c>
      <c r="N498" s="33" t="str">
        <f t="shared" si="58"/>
        <v/>
      </c>
      <c r="O498" s="33" t="str">
        <f t="shared" si="59"/>
        <v/>
      </c>
      <c r="P498" t="str">
        <f t="shared" si="60"/>
        <v/>
      </c>
      <c r="Q498" s="33" t="str">
        <f t="shared" si="61"/>
        <v/>
      </c>
      <c r="R498" s="39" t="str">
        <f t="shared" si="62"/>
        <v/>
      </c>
    </row>
    <row r="499" spans="6:18" x14ac:dyDescent="0.25">
      <c r="F499" s="35">
        <v>493</v>
      </c>
      <c r="L499" s="33" t="str">
        <f t="shared" si="56"/>
        <v/>
      </c>
      <c r="M499" t="str">
        <f t="shared" si="57"/>
        <v/>
      </c>
      <c r="N499" s="33" t="str">
        <f t="shared" si="58"/>
        <v/>
      </c>
      <c r="O499" s="33" t="str">
        <f t="shared" si="59"/>
        <v/>
      </c>
      <c r="P499" t="str">
        <f t="shared" si="60"/>
        <v/>
      </c>
      <c r="Q499" s="33" t="str">
        <f t="shared" si="61"/>
        <v/>
      </c>
      <c r="R499" s="39" t="str">
        <f t="shared" si="62"/>
        <v/>
      </c>
    </row>
    <row r="500" spans="6:18" x14ac:dyDescent="0.25">
      <c r="F500" s="35">
        <v>494</v>
      </c>
      <c r="L500" s="33" t="str">
        <f t="shared" si="56"/>
        <v/>
      </c>
      <c r="M500" t="str">
        <f t="shared" si="57"/>
        <v/>
      </c>
      <c r="N500" s="33" t="str">
        <f t="shared" si="58"/>
        <v/>
      </c>
      <c r="O500" s="33" t="str">
        <f t="shared" si="59"/>
        <v/>
      </c>
      <c r="P500" t="str">
        <f t="shared" si="60"/>
        <v/>
      </c>
      <c r="Q500" s="33" t="str">
        <f t="shared" si="61"/>
        <v/>
      </c>
      <c r="R500" s="39" t="str">
        <f t="shared" si="62"/>
        <v/>
      </c>
    </row>
    <row r="501" spans="6:18" x14ac:dyDescent="0.25">
      <c r="F501" s="35">
        <v>495</v>
      </c>
      <c r="L501" s="33" t="str">
        <f t="shared" si="56"/>
        <v/>
      </c>
      <c r="M501" t="str">
        <f t="shared" si="57"/>
        <v/>
      </c>
      <c r="N501" s="33" t="str">
        <f t="shared" si="58"/>
        <v/>
      </c>
      <c r="O501" s="33" t="str">
        <f t="shared" si="59"/>
        <v/>
      </c>
      <c r="P501" t="str">
        <f t="shared" si="60"/>
        <v/>
      </c>
      <c r="Q501" s="33" t="str">
        <f t="shared" si="61"/>
        <v/>
      </c>
      <c r="R501" s="39" t="str">
        <f t="shared" si="62"/>
        <v/>
      </c>
    </row>
    <row r="502" spans="6:18" x14ac:dyDescent="0.25">
      <c r="F502" s="35">
        <v>496</v>
      </c>
      <c r="L502" s="33" t="str">
        <f t="shared" si="56"/>
        <v/>
      </c>
      <c r="M502" t="str">
        <f t="shared" si="57"/>
        <v/>
      </c>
      <c r="N502" s="33" t="str">
        <f t="shared" si="58"/>
        <v/>
      </c>
      <c r="O502" s="33" t="str">
        <f t="shared" si="59"/>
        <v/>
      </c>
      <c r="P502" t="str">
        <f t="shared" si="60"/>
        <v/>
      </c>
      <c r="Q502" s="33" t="str">
        <f t="shared" si="61"/>
        <v/>
      </c>
      <c r="R502" s="39" t="str">
        <f t="shared" si="62"/>
        <v/>
      </c>
    </row>
    <row r="503" spans="6:18" x14ac:dyDescent="0.25">
      <c r="F503" s="35">
        <v>497</v>
      </c>
      <c r="L503" s="33" t="str">
        <f t="shared" si="56"/>
        <v/>
      </c>
      <c r="M503" t="str">
        <f t="shared" si="57"/>
        <v/>
      </c>
      <c r="N503" s="33" t="str">
        <f t="shared" si="58"/>
        <v/>
      </c>
      <c r="O503" s="33" t="str">
        <f t="shared" si="59"/>
        <v/>
      </c>
      <c r="P503" t="str">
        <f t="shared" si="60"/>
        <v/>
      </c>
      <c r="Q503" s="33" t="str">
        <f t="shared" si="61"/>
        <v/>
      </c>
      <c r="R503" s="39" t="str">
        <f t="shared" si="62"/>
        <v/>
      </c>
    </row>
    <row r="504" spans="6:18" x14ac:dyDescent="0.25">
      <c r="F504" s="35">
        <v>498</v>
      </c>
      <c r="L504" s="33" t="str">
        <f t="shared" si="56"/>
        <v/>
      </c>
      <c r="M504" t="str">
        <f t="shared" si="57"/>
        <v/>
      </c>
      <c r="N504" s="33" t="str">
        <f t="shared" si="58"/>
        <v/>
      </c>
      <c r="O504" s="33" t="str">
        <f t="shared" si="59"/>
        <v/>
      </c>
      <c r="P504" t="str">
        <f t="shared" si="60"/>
        <v/>
      </c>
      <c r="Q504" s="33" t="str">
        <f t="shared" si="61"/>
        <v/>
      </c>
      <c r="R504" s="39" t="str">
        <f t="shared" si="62"/>
        <v/>
      </c>
    </row>
    <row r="505" spans="6:18" x14ac:dyDescent="0.25">
      <c r="F505" s="35">
        <v>499</v>
      </c>
      <c r="L505" s="33" t="str">
        <f t="shared" si="56"/>
        <v/>
      </c>
      <c r="M505" t="str">
        <f t="shared" si="57"/>
        <v/>
      </c>
      <c r="N505" s="33" t="str">
        <f t="shared" si="58"/>
        <v/>
      </c>
      <c r="O505" s="33" t="str">
        <f t="shared" si="59"/>
        <v/>
      </c>
      <c r="P505" t="str">
        <f t="shared" si="60"/>
        <v/>
      </c>
      <c r="Q505" s="33" t="str">
        <f t="shared" si="61"/>
        <v/>
      </c>
      <c r="R505" s="39" t="str">
        <f t="shared" si="62"/>
        <v/>
      </c>
    </row>
    <row r="506" spans="6:18" x14ac:dyDescent="0.25">
      <c r="F506" s="35">
        <v>500</v>
      </c>
      <c r="L506" s="33" t="str">
        <f t="shared" si="56"/>
        <v/>
      </c>
      <c r="M506" t="str">
        <f t="shared" si="57"/>
        <v/>
      </c>
      <c r="N506" s="33" t="str">
        <f t="shared" si="58"/>
        <v/>
      </c>
      <c r="O506" s="33" t="str">
        <f t="shared" si="59"/>
        <v/>
      </c>
      <c r="P506" t="str">
        <f t="shared" si="60"/>
        <v/>
      </c>
      <c r="Q506" s="33" t="str">
        <f t="shared" si="61"/>
        <v/>
      </c>
      <c r="R506" s="39" t="str">
        <f t="shared" si="62"/>
        <v/>
      </c>
    </row>
    <row r="507" spans="6:18" x14ac:dyDescent="0.25">
      <c r="F507" s="35">
        <v>501</v>
      </c>
      <c r="L507" s="33" t="str">
        <f t="shared" si="56"/>
        <v/>
      </c>
      <c r="M507" t="str">
        <f t="shared" si="57"/>
        <v/>
      </c>
      <c r="N507" s="33" t="str">
        <f t="shared" si="58"/>
        <v/>
      </c>
      <c r="O507" s="33" t="str">
        <f t="shared" si="59"/>
        <v/>
      </c>
      <c r="P507" t="str">
        <f t="shared" si="60"/>
        <v/>
      </c>
      <c r="Q507" s="33" t="str">
        <f t="shared" si="61"/>
        <v/>
      </c>
      <c r="R507" s="39" t="str">
        <f t="shared" si="62"/>
        <v/>
      </c>
    </row>
    <row r="508" spans="6:18" x14ac:dyDescent="0.25">
      <c r="F508" s="35">
        <v>502</v>
      </c>
      <c r="L508" s="33" t="str">
        <f t="shared" si="56"/>
        <v/>
      </c>
      <c r="M508" t="str">
        <f t="shared" si="57"/>
        <v/>
      </c>
      <c r="N508" s="33" t="str">
        <f t="shared" si="58"/>
        <v/>
      </c>
      <c r="O508" s="33" t="str">
        <f t="shared" si="59"/>
        <v/>
      </c>
      <c r="P508" t="str">
        <f t="shared" si="60"/>
        <v/>
      </c>
      <c r="Q508" s="33" t="str">
        <f t="shared" si="61"/>
        <v/>
      </c>
      <c r="R508" s="39" t="str">
        <f t="shared" si="62"/>
        <v/>
      </c>
    </row>
    <row r="509" spans="6:18" x14ac:dyDescent="0.25">
      <c r="F509" s="35">
        <v>503</v>
      </c>
      <c r="L509" s="33" t="str">
        <f t="shared" si="56"/>
        <v/>
      </c>
      <c r="M509" t="str">
        <f t="shared" si="57"/>
        <v/>
      </c>
      <c r="N509" s="33" t="str">
        <f t="shared" si="58"/>
        <v/>
      </c>
      <c r="O509" s="33" t="str">
        <f t="shared" si="59"/>
        <v/>
      </c>
      <c r="P509" t="str">
        <f t="shared" si="60"/>
        <v/>
      </c>
      <c r="Q509" s="33" t="str">
        <f t="shared" si="61"/>
        <v/>
      </c>
      <c r="R509" s="39" t="str">
        <f t="shared" si="62"/>
        <v/>
      </c>
    </row>
    <row r="510" spans="6:18" x14ac:dyDescent="0.25">
      <c r="F510" s="35">
        <v>504</v>
      </c>
      <c r="L510" s="33" t="str">
        <f t="shared" si="56"/>
        <v/>
      </c>
      <c r="M510" t="str">
        <f t="shared" si="57"/>
        <v/>
      </c>
      <c r="N510" s="33" t="str">
        <f t="shared" si="58"/>
        <v/>
      </c>
      <c r="O510" s="33" t="str">
        <f t="shared" si="59"/>
        <v/>
      </c>
      <c r="P510" t="str">
        <f t="shared" si="60"/>
        <v/>
      </c>
      <c r="Q510" s="33" t="str">
        <f t="shared" si="61"/>
        <v/>
      </c>
      <c r="R510" s="39" t="str">
        <f t="shared" si="62"/>
        <v/>
      </c>
    </row>
    <row r="511" spans="6:18" x14ac:dyDescent="0.25">
      <c r="F511" s="35">
        <v>505</v>
      </c>
      <c r="L511" s="33" t="str">
        <f t="shared" si="56"/>
        <v/>
      </c>
      <c r="M511" t="str">
        <f t="shared" si="57"/>
        <v/>
      </c>
      <c r="N511" s="33" t="str">
        <f t="shared" si="58"/>
        <v/>
      </c>
      <c r="O511" s="33" t="str">
        <f t="shared" si="59"/>
        <v/>
      </c>
      <c r="P511" t="str">
        <f t="shared" si="60"/>
        <v/>
      </c>
      <c r="Q511" s="33" t="str">
        <f t="shared" si="61"/>
        <v/>
      </c>
      <c r="R511" s="39" t="str">
        <f t="shared" si="62"/>
        <v/>
      </c>
    </row>
    <row r="512" spans="6:18" x14ac:dyDescent="0.25">
      <c r="F512" s="35">
        <v>506</v>
      </c>
      <c r="L512" s="33" t="str">
        <f t="shared" si="56"/>
        <v/>
      </c>
      <c r="M512" t="str">
        <f t="shared" si="57"/>
        <v/>
      </c>
      <c r="N512" s="33" t="str">
        <f t="shared" si="58"/>
        <v/>
      </c>
      <c r="O512" s="33" t="str">
        <f t="shared" si="59"/>
        <v/>
      </c>
      <c r="P512" t="str">
        <f t="shared" si="60"/>
        <v/>
      </c>
      <c r="Q512" s="33" t="str">
        <f t="shared" si="61"/>
        <v/>
      </c>
      <c r="R512" s="39" t="str">
        <f t="shared" si="62"/>
        <v/>
      </c>
    </row>
    <row r="513" spans="6:18" x14ac:dyDescent="0.25">
      <c r="F513" s="35">
        <v>507</v>
      </c>
      <c r="L513" s="33" t="str">
        <f t="shared" si="56"/>
        <v/>
      </c>
      <c r="M513" t="str">
        <f t="shared" si="57"/>
        <v/>
      </c>
      <c r="N513" s="33" t="str">
        <f t="shared" si="58"/>
        <v/>
      </c>
      <c r="O513" s="33" t="str">
        <f t="shared" si="59"/>
        <v/>
      </c>
      <c r="P513" t="str">
        <f t="shared" si="60"/>
        <v/>
      </c>
      <c r="Q513" s="33" t="str">
        <f t="shared" si="61"/>
        <v/>
      </c>
      <c r="R513" s="39" t="str">
        <f t="shared" si="62"/>
        <v/>
      </c>
    </row>
    <row r="514" spans="6:18" x14ac:dyDescent="0.25">
      <c r="F514" s="35">
        <v>508</v>
      </c>
      <c r="L514" s="33" t="str">
        <f t="shared" si="56"/>
        <v/>
      </c>
      <c r="M514" t="str">
        <f t="shared" si="57"/>
        <v/>
      </c>
      <c r="N514" s="33" t="str">
        <f t="shared" si="58"/>
        <v/>
      </c>
      <c r="O514" s="33" t="str">
        <f t="shared" si="59"/>
        <v/>
      </c>
      <c r="P514" t="str">
        <f t="shared" si="60"/>
        <v/>
      </c>
      <c r="Q514" s="33" t="str">
        <f t="shared" si="61"/>
        <v/>
      </c>
      <c r="R514" s="39" t="str">
        <f t="shared" si="62"/>
        <v/>
      </c>
    </row>
    <row r="515" spans="6:18" x14ac:dyDescent="0.25">
      <c r="F515" s="35">
        <v>509</v>
      </c>
      <c r="L515" s="33" t="str">
        <f t="shared" si="56"/>
        <v/>
      </c>
      <c r="M515" t="str">
        <f t="shared" si="57"/>
        <v/>
      </c>
      <c r="N515" s="33" t="str">
        <f t="shared" si="58"/>
        <v/>
      </c>
      <c r="O515" s="33" t="str">
        <f t="shared" si="59"/>
        <v/>
      </c>
      <c r="P515" t="str">
        <f t="shared" si="60"/>
        <v/>
      </c>
      <c r="Q515" s="33" t="str">
        <f t="shared" si="61"/>
        <v/>
      </c>
      <c r="R515" s="39" t="str">
        <f t="shared" si="62"/>
        <v/>
      </c>
    </row>
    <row r="516" spans="6:18" x14ac:dyDescent="0.25">
      <c r="F516" s="35">
        <v>510</v>
      </c>
      <c r="L516" s="33" t="str">
        <f t="shared" si="56"/>
        <v/>
      </c>
      <c r="M516" t="str">
        <f t="shared" si="57"/>
        <v/>
      </c>
      <c r="N516" s="33" t="str">
        <f t="shared" si="58"/>
        <v/>
      </c>
      <c r="O516" s="33" t="str">
        <f t="shared" si="59"/>
        <v/>
      </c>
      <c r="P516" t="str">
        <f t="shared" si="60"/>
        <v/>
      </c>
      <c r="Q516" s="33" t="str">
        <f t="shared" si="61"/>
        <v/>
      </c>
      <c r="R516" s="39" t="str">
        <f t="shared" si="62"/>
        <v/>
      </c>
    </row>
    <row r="517" spans="6:18" x14ac:dyDescent="0.25">
      <c r="F517" s="35">
        <v>511</v>
      </c>
      <c r="L517" s="33" t="str">
        <f t="shared" si="56"/>
        <v/>
      </c>
      <c r="M517" t="str">
        <f t="shared" si="57"/>
        <v/>
      </c>
      <c r="N517" s="33" t="str">
        <f t="shared" si="58"/>
        <v/>
      </c>
      <c r="O517" s="33" t="str">
        <f t="shared" si="59"/>
        <v/>
      </c>
      <c r="P517" t="str">
        <f t="shared" si="60"/>
        <v/>
      </c>
      <c r="Q517" s="33" t="str">
        <f t="shared" si="61"/>
        <v/>
      </c>
      <c r="R517" s="39" t="str">
        <f t="shared" si="62"/>
        <v/>
      </c>
    </row>
    <row r="518" spans="6:18" x14ac:dyDescent="0.25">
      <c r="F518" s="35">
        <v>512</v>
      </c>
      <c r="L518" s="33" t="str">
        <f t="shared" si="56"/>
        <v/>
      </c>
      <c r="M518" t="str">
        <f t="shared" si="57"/>
        <v/>
      </c>
      <c r="N518" s="33" t="str">
        <f t="shared" si="58"/>
        <v/>
      </c>
      <c r="O518" s="33" t="str">
        <f t="shared" si="59"/>
        <v/>
      </c>
      <c r="P518" t="str">
        <f t="shared" si="60"/>
        <v/>
      </c>
      <c r="Q518" s="33" t="str">
        <f t="shared" si="61"/>
        <v/>
      </c>
      <c r="R518" s="39" t="str">
        <f t="shared" si="62"/>
        <v/>
      </c>
    </row>
    <row r="519" spans="6:18" x14ac:dyDescent="0.25">
      <c r="F519" s="35">
        <v>513</v>
      </c>
      <c r="L519" s="33" t="str">
        <f t="shared" si="56"/>
        <v/>
      </c>
      <c r="M519" t="str">
        <f t="shared" si="57"/>
        <v/>
      </c>
      <c r="N519" s="33" t="str">
        <f t="shared" si="58"/>
        <v/>
      </c>
      <c r="O519" s="33" t="str">
        <f t="shared" si="59"/>
        <v/>
      </c>
      <c r="P519" t="str">
        <f t="shared" si="60"/>
        <v/>
      </c>
      <c r="Q519" s="33" t="str">
        <f t="shared" si="61"/>
        <v/>
      </c>
      <c r="R519" s="39" t="str">
        <f t="shared" si="62"/>
        <v/>
      </c>
    </row>
    <row r="520" spans="6:18" x14ac:dyDescent="0.25">
      <c r="F520" s="35">
        <v>514</v>
      </c>
      <c r="L520" s="33" t="str">
        <f t="shared" ref="L520:L583" si="63">IF(G520="","",$C$4*$C$6*$C$7/360)</f>
        <v/>
      </c>
      <c r="M520" t="str">
        <f t="shared" ref="M520:M583" si="64">IF(G520="","",IF(H520=$G$2,100,0))</f>
        <v/>
      </c>
      <c r="N520" s="33" t="str">
        <f t="shared" ref="N520:N583" si="65">IF(G520="","",L520+M520)</f>
        <v/>
      </c>
      <c r="O520" s="33" t="str">
        <f t="shared" ref="O520:O583" si="66">IF(G520="","",1/(1+$C$5*K520/360)^(J520/K520))</f>
        <v/>
      </c>
      <c r="P520" t="str">
        <f t="shared" ref="P520:P583" si="67">IF(G520="","",H520-$C$12)</f>
        <v/>
      </c>
      <c r="Q520" s="33" t="str">
        <f t="shared" ref="Q520:Q583" si="68">IF(G520="","",(P520/K520))</f>
        <v/>
      </c>
      <c r="R520" s="39" t="str">
        <f t="shared" ref="R520:R583" si="69">IF(G520="","",N520*O520)</f>
        <v/>
      </c>
    </row>
    <row r="521" spans="6:18" x14ac:dyDescent="0.25">
      <c r="F521" s="35">
        <v>515</v>
      </c>
      <c r="L521" s="33" t="str">
        <f t="shared" si="63"/>
        <v/>
      </c>
      <c r="M521" t="str">
        <f t="shared" si="64"/>
        <v/>
      </c>
      <c r="N521" s="33" t="str">
        <f t="shared" si="65"/>
        <v/>
      </c>
      <c r="O521" s="33" t="str">
        <f t="shared" si="66"/>
        <v/>
      </c>
      <c r="P521" t="str">
        <f t="shared" si="67"/>
        <v/>
      </c>
      <c r="Q521" s="33" t="str">
        <f t="shared" si="68"/>
        <v/>
      </c>
      <c r="R521" s="39" t="str">
        <f t="shared" si="69"/>
        <v/>
      </c>
    </row>
    <row r="522" spans="6:18" x14ac:dyDescent="0.25">
      <c r="F522" s="35">
        <v>516</v>
      </c>
      <c r="L522" s="33" t="str">
        <f t="shared" si="63"/>
        <v/>
      </c>
      <c r="M522" t="str">
        <f t="shared" si="64"/>
        <v/>
      </c>
      <c r="N522" s="33" t="str">
        <f t="shared" si="65"/>
        <v/>
      </c>
      <c r="O522" s="33" t="str">
        <f t="shared" si="66"/>
        <v/>
      </c>
      <c r="P522" t="str">
        <f t="shared" si="67"/>
        <v/>
      </c>
      <c r="Q522" s="33" t="str">
        <f t="shared" si="68"/>
        <v/>
      </c>
      <c r="R522" s="39" t="str">
        <f t="shared" si="69"/>
        <v/>
      </c>
    </row>
    <row r="523" spans="6:18" x14ac:dyDescent="0.25">
      <c r="F523" s="35">
        <v>517</v>
      </c>
      <c r="L523" s="33" t="str">
        <f t="shared" si="63"/>
        <v/>
      </c>
      <c r="M523" t="str">
        <f t="shared" si="64"/>
        <v/>
      </c>
      <c r="N523" s="33" t="str">
        <f t="shared" si="65"/>
        <v/>
      </c>
      <c r="O523" s="33" t="str">
        <f t="shared" si="66"/>
        <v/>
      </c>
      <c r="P523" t="str">
        <f t="shared" si="67"/>
        <v/>
      </c>
      <c r="Q523" s="33" t="str">
        <f t="shared" si="68"/>
        <v/>
      </c>
      <c r="R523" s="39" t="str">
        <f t="shared" si="69"/>
        <v/>
      </c>
    </row>
    <row r="524" spans="6:18" x14ac:dyDescent="0.25">
      <c r="F524" s="35">
        <v>518</v>
      </c>
      <c r="L524" s="33" t="str">
        <f t="shared" si="63"/>
        <v/>
      </c>
      <c r="M524" t="str">
        <f t="shared" si="64"/>
        <v/>
      </c>
      <c r="N524" s="33" t="str">
        <f t="shared" si="65"/>
        <v/>
      </c>
      <c r="O524" s="33" t="str">
        <f t="shared" si="66"/>
        <v/>
      </c>
      <c r="P524" t="str">
        <f t="shared" si="67"/>
        <v/>
      </c>
      <c r="Q524" s="33" t="str">
        <f t="shared" si="68"/>
        <v/>
      </c>
      <c r="R524" s="39" t="str">
        <f t="shared" si="69"/>
        <v/>
      </c>
    </row>
    <row r="525" spans="6:18" x14ac:dyDescent="0.25">
      <c r="F525" s="35">
        <v>519</v>
      </c>
      <c r="L525" s="33" t="str">
        <f t="shared" si="63"/>
        <v/>
      </c>
      <c r="M525" t="str">
        <f t="shared" si="64"/>
        <v/>
      </c>
      <c r="N525" s="33" t="str">
        <f t="shared" si="65"/>
        <v/>
      </c>
      <c r="O525" s="33" t="str">
        <f t="shared" si="66"/>
        <v/>
      </c>
      <c r="P525" t="str">
        <f t="shared" si="67"/>
        <v/>
      </c>
      <c r="Q525" s="33" t="str">
        <f t="shared" si="68"/>
        <v/>
      </c>
      <c r="R525" s="39" t="str">
        <f t="shared" si="69"/>
        <v/>
      </c>
    </row>
    <row r="526" spans="6:18" x14ac:dyDescent="0.25">
      <c r="F526" s="35">
        <v>520</v>
      </c>
      <c r="L526" s="33" t="str">
        <f t="shared" si="63"/>
        <v/>
      </c>
      <c r="M526" t="str">
        <f t="shared" si="64"/>
        <v/>
      </c>
      <c r="N526" s="33" t="str">
        <f t="shared" si="65"/>
        <v/>
      </c>
      <c r="O526" s="33" t="str">
        <f t="shared" si="66"/>
        <v/>
      </c>
      <c r="P526" t="str">
        <f t="shared" si="67"/>
        <v/>
      </c>
      <c r="Q526" s="33" t="str">
        <f t="shared" si="68"/>
        <v/>
      </c>
      <c r="R526" s="39" t="str">
        <f t="shared" si="69"/>
        <v/>
      </c>
    </row>
    <row r="527" spans="6:18" x14ac:dyDescent="0.25">
      <c r="F527" s="35">
        <v>521</v>
      </c>
      <c r="L527" s="33" t="str">
        <f t="shared" si="63"/>
        <v/>
      </c>
      <c r="M527" t="str">
        <f t="shared" si="64"/>
        <v/>
      </c>
      <c r="N527" s="33" t="str">
        <f t="shared" si="65"/>
        <v/>
      </c>
      <c r="O527" s="33" t="str">
        <f t="shared" si="66"/>
        <v/>
      </c>
      <c r="P527" t="str">
        <f t="shared" si="67"/>
        <v/>
      </c>
      <c r="Q527" s="33" t="str">
        <f t="shared" si="68"/>
        <v/>
      </c>
      <c r="R527" s="39" t="str">
        <f t="shared" si="69"/>
        <v/>
      </c>
    </row>
    <row r="528" spans="6:18" x14ac:dyDescent="0.25">
      <c r="F528" s="35">
        <v>522</v>
      </c>
      <c r="L528" s="33" t="str">
        <f t="shared" si="63"/>
        <v/>
      </c>
      <c r="M528" t="str">
        <f t="shared" si="64"/>
        <v/>
      </c>
      <c r="N528" s="33" t="str">
        <f t="shared" si="65"/>
        <v/>
      </c>
      <c r="O528" s="33" t="str">
        <f t="shared" si="66"/>
        <v/>
      </c>
      <c r="P528" t="str">
        <f t="shared" si="67"/>
        <v/>
      </c>
      <c r="Q528" s="33" t="str">
        <f t="shared" si="68"/>
        <v/>
      </c>
      <c r="R528" s="39" t="str">
        <f t="shared" si="69"/>
        <v/>
      </c>
    </row>
    <row r="529" spans="6:18" x14ac:dyDescent="0.25">
      <c r="F529" s="35">
        <v>523</v>
      </c>
      <c r="L529" s="33" t="str">
        <f t="shared" si="63"/>
        <v/>
      </c>
      <c r="M529" t="str">
        <f t="shared" si="64"/>
        <v/>
      </c>
      <c r="N529" s="33" t="str">
        <f t="shared" si="65"/>
        <v/>
      </c>
      <c r="O529" s="33" t="str">
        <f t="shared" si="66"/>
        <v/>
      </c>
      <c r="P529" t="str">
        <f t="shared" si="67"/>
        <v/>
      </c>
      <c r="Q529" s="33" t="str">
        <f t="shared" si="68"/>
        <v/>
      </c>
      <c r="R529" s="39" t="str">
        <f t="shared" si="69"/>
        <v/>
      </c>
    </row>
    <row r="530" spans="6:18" x14ac:dyDescent="0.25">
      <c r="F530" s="35">
        <v>524</v>
      </c>
      <c r="L530" s="33" t="str">
        <f t="shared" si="63"/>
        <v/>
      </c>
      <c r="M530" t="str">
        <f t="shared" si="64"/>
        <v/>
      </c>
      <c r="N530" s="33" t="str">
        <f t="shared" si="65"/>
        <v/>
      </c>
      <c r="O530" s="33" t="str">
        <f t="shared" si="66"/>
        <v/>
      </c>
      <c r="P530" t="str">
        <f t="shared" si="67"/>
        <v/>
      </c>
      <c r="Q530" s="33" t="str">
        <f t="shared" si="68"/>
        <v/>
      </c>
      <c r="R530" s="39" t="str">
        <f t="shared" si="69"/>
        <v/>
      </c>
    </row>
    <row r="531" spans="6:18" x14ac:dyDescent="0.25">
      <c r="F531" s="35">
        <v>525</v>
      </c>
      <c r="L531" s="33" t="str">
        <f t="shared" si="63"/>
        <v/>
      </c>
      <c r="M531" t="str">
        <f t="shared" si="64"/>
        <v/>
      </c>
      <c r="N531" s="33" t="str">
        <f t="shared" si="65"/>
        <v/>
      </c>
      <c r="O531" s="33" t="str">
        <f t="shared" si="66"/>
        <v/>
      </c>
      <c r="P531" t="str">
        <f t="shared" si="67"/>
        <v/>
      </c>
      <c r="Q531" s="33" t="str">
        <f t="shared" si="68"/>
        <v/>
      </c>
      <c r="R531" s="39" t="str">
        <f t="shared" si="69"/>
        <v/>
      </c>
    </row>
    <row r="532" spans="6:18" x14ac:dyDescent="0.25">
      <c r="F532" s="35">
        <v>526</v>
      </c>
      <c r="L532" s="33" t="str">
        <f t="shared" si="63"/>
        <v/>
      </c>
      <c r="M532" t="str">
        <f t="shared" si="64"/>
        <v/>
      </c>
      <c r="N532" s="33" t="str">
        <f t="shared" si="65"/>
        <v/>
      </c>
      <c r="O532" s="33" t="str">
        <f t="shared" si="66"/>
        <v/>
      </c>
      <c r="P532" t="str">
        <f t="shared" si="67"/>
        <v/>
      </c>
      <c r="Q532" s="33" t="str">
        <f t="shared" si="68"/>
        <v/>
      </c>
      <c r="R532" s="39" t="str">
        <f t="shared" si="69"/>
        <v/>
      </c>
    </row>
    <row r="533" spans="6:18" x14ac:dyDescent="0.25">
      <c r="F533" s="35">
        <v>527</v>
      </c>
      <c r="L533" s="33" t="str">
        <f t="shared" si="63"/>
        <v/>
      </c>
      <c r="M533" t="str">
        <f t="shared" si="64"/>
        <v/>
      </c>
      <c r="N533" s="33" t="str">
        <f t="shared" si="65"/>
        <v/>
      </c>
      <c r="O533" s="33" t="str">
        <f t="shared" si="66"/>
        <v/>
      </c>
      <c r="P533" t="str">
        <f t="shared" si="67"/>
        <v/>
      </c>
      <c r="Q533" s="33" t="str">
        <f t="shared" si="68"/>
        <v/>
      </c>
      <c r="R533" s="39" t="str">
        <f t="shared" si="69"/>
        <v/>
      </c>
    </row>
    <row r="534" spans="6:18" x14ac:dyDescent="0.25">
      <c r="F534" s="35">
        <v>528</v>
      </c>
      <c r="L534" s="33" t="str">
        <f t="shared" si="63"/>
        <v/>
      </c>
      <c r="M534" t="str">
        <f t="shared" si="64"/>
        <v/>
      </c>
      <c r="N534" s="33" t="str">
        <f t="shared" si="65"/>
        <v/>
      </c>
      <c r="O534" s="33" t="str">
        <f t="shared" si="66"/>
        <v/>
      </c>
      <c r="P534" t="str">
        <f t="shared" si="67"/>
        <v/>
      </c>
      <c r="Q534" s="33" t="str">
        <f t="shared" si="68"/>
        <v/>
      </c>
      <c r="R534" s="39" t="str">
        <f t="shared" si="69"/>
        <v/>
      </c>
    </row>
    <row r="535" spans="6:18" x14ac:dyDescent="0.25">
      <c r="F535" s="35">
        <v>529</v>
      </c>
      <c r="L535" s="33" t="str">
        <f t="shared" si="63"/>
        <v/>
      </c>
      <c r="M535" t="str">
        <f t="shared" si="64"/>
        <v/>
      </c>
      <c r="N535" s="33" t="str">
        <f t="shared" si="65"/>
        <v/>
      </c>
      <c r="O535" s="33" t="str">
        <f t="shared" si="66"/>
        <v/>
      </c>
      <c r="P535" t="str">
        <f t="shared" si="67"/>
        <v/>
      </c>
      <c r="Q535" s="33" t="str">
        <f t="shared" si="68"/>
        <v/>
      </c>
      <c r="R535" s="39" t="str">
        <f t="shared" si="69"/>
        <v/>
      </c>
    </row>
    <row r="536" spans="6:18" x14ac:dyDescent="0.25">
      <c r="F536" s="35">
        <v>530</v>
      </c>
      <c r="L536" s="33" t="str">
        <f t="shared" si="63"/>
        <v/>
      </c>
      <c r="M536" t="str">
        <f t="shared" si="64"/>
        <v/>
      </c>
      <c r="N536" s="33" t="str">
        <f t="shared" si="65"/>
        <v/>
      </c>
      <c r="O536" s="33" t="str">
        <f t="shared" si="66"/>
        <v/>
      </c>
      <c r="P536" t="str">
        <f t="shared" si="67"/>
        <v/>
      </c>
      <c r="Q536" s="33" t="str">
        <f t="shared" si="68"/>
        <v/>
      </c>
      <c r="R536" s="39" t="str">
        <f t="shared" si="69"/>
        <v/>
      </c>
    </row>
    <row r="537" spans="6:18" x14ac:dyDescent="0.25">
      <c r="F537" s="35">
        <v>531</v>
      </c>
      <c r="L537" s="33" t="str">
        <f t="shared" si="63"/>
        <v/>
      </c>
      <c r="M537" t="str">
        <f t="shared" si="64"/>
        <v/>
      </c>
      <c r="N537" s="33" t="str">
        <f t="shared" si="65"/>
        <v/>
      </c>
      <c r="O537" s="33" t="str">
        <f t="shared" si="66"/>
        <v/>
      </c>
      <c r="P537" t="str">
        <f t="shared" si="67"/>
        <v/>
      </c>
      <c r="Q537" s="33" t="str">
        <f t="shared" si="68"/>
        <v/>
      </c>
      <c r="R537" s="39" t="str">
        <f t="shared" si="69"/>
        <v/>
      </c>
    </row>
    <row r="538" spans="6:18" x14ac:dyDescent="0.25">
      <c r="F538" s="35">
        <v>532</v>
      </c>
      <c r="L538" s="33" t="str">
        <f t="shared" si="63"/>
        <v/>
      </c>
      <c r="M538" t="str">
        <f t="shared" si="64"/>
        <v/>
      </c>
      <c r="N538" s="33" t="str">
        <f t="shared" si="65"/>
        <v/>
      </c>
      <c r="O538" s="33" t="str">
        <f t="shared" si="66"/>
        <v/>
      </c>
      <c r="P538" t="str">
        <f t="shared" si="67"/>
        <v/>
      </c>
      <c r="Q538" s="33" t="str">
        <f t="shared" si="68"/>
        <v/>
      </c>
      <c r="R538" s="39" t="str">
        <f t="shared" si="69"/>
        <v/>
      </c>
    </row>
    <row r="539" spans="6:18" x14ac:dyDescent="0.25">
      <c r="F539" s="35">
        <v>533</v>
      </c>
      <c r="L539" s="33" t="str">
        <f t="shared" si="63"/>
        <v/>
      </c>
      <c r="M539" t="str">
        <f t="shared" si="64"/>
        <v/>
      </c>
      <c r="N539" s="33" t="str">
        <f t="shared" si="65"/>
        <v/>
      </c>
      <c r="O539" s="33" t="str">
        <f t="shared" si="66"/>
        <v/>
      </c>
      <c r="P539" t="str">
        <f t="shared" si="67"/>
        <v/>
      </c>
      <c r="Q539" s="33" t="str">
        <f t="shared" si="68"/>
        <v/>
      </c>
      <c r="R539" s="39" t="str">
        <f t="shared" si="69"/>
        <v/>
      </c>
    </row>
    <row r="540" spans="6:18" x14ac:dyDescent="0.25">
      <c r="F540" s="35">
        <v>534</v>
      </c>
      <c r="L540" s="33" t="str">
        <f t="shared" si="63"/>
        <v/>
      </c>
      <c r="M540" t="str">
        <f t="shared" si="64"/>
        <v/>
      </c>
      <c r="N540" s="33" t="str">
        <f t="shared" si="65"/>
        <v/>
      </c>
      <c r="O540" s="33" t="str">
        <f t="shared" si="66"/>
        <v/>
      </c>
      <c r="P540" t="str">
        <f t="shared" si="67"/>
        <v/>
      </c>
      <c r="Q540" s="33" t="str">
        <f t="shared" si="68"/>
        <v/>
      </c>
      <c r="R540" s="39" t="str">
        <f t="shared" si="69"/>
        <v/>
      </c>
    </row>
    <row r="541" spans="6:18" x14ac:dyDescent="0.25">
      <c r="F541" s="35">
        <v>535</v>
      </c>
      <c r="L541" s="33" t="str">
        <f t="shared" si="63"/>
        <v/>
      </c>
      <c r="M541" t="str">
        <f t="shared" si="64"/>
        <v/>
      </c>
      <c r="N541" s="33" t="str">
        <f t="shared" si="65"/>
        <v/>
      </c>
      <c r="O541" s="33" t="str">
        <f t="shared" si="66"/>
        <v/>
      </c>
      <c r="P541" t="str">
        <f t="shared" si="67"/>
        <v/>
      </c>
      <c r="Q541" s="33" t="str">
        <f t="shared" si="68"/>
        <v/>
      </c>
      <c r="R541" s="39" t="str">
        <f t="shared" si="69"/>
        <v/>
      </c>
    </row>
    <row r="542" spans="6:18" x14ac:dyDescent="0.25">
      <c r="F542" s="35">
        <v>536</v>
      </c>
      <c r="L542" s="33" t="str">
        <f t="shared" si="63"/>
        <v/>
      </c>
      <c r="M542" t="str">
        <f t="shared" si="64"/>
        <v/>
      </c>
      <c r="N542" s="33" t="str">
        <f t="shared" si="65"/>
        <v/>
      </c>
      <c r="O542" s="33" t="str">
        <f t="shared" si="66"/>
        <v/>
      </c>
      <c r="P542" t="str">
        <f t="shared" si="67"/>
        <v/>
      </c>
      <c r="Q542" s="33" t="str">
        <f t="shared" si="68"/>
        <v/>
      </c>
      <c r="R542" s="39" t="str">
        <f t="shared" si="69"/>
        <v/>
      </c>
    </row>
    <row r="543" spans="6:18" x14ac:dyDescent="0.25">
      <c r="F543" s="35">
        <v>537</v>
      </c>
      <c r="L543" s="33" t="str">
        <f t="shared" si="63"/>
        <v/>
      </c>
      <c r="M543" t="str">
        <f t="shared" si="64"/>
        <v/>
      </c>
      <c r="N543" s="33" t="str">
        <f t="shared" si="65"/>
        <v/>
      </c>
      <c r="O543" s="33" t="str">
        <f t="shared" si="66"/>
        <v/>
      </c>
      <c r="P543" t="str">
        <f t="shared" si="67"/>
        <v/>
      </c>
      <c r="Q543" s="33" t="str">
        <f t="shared" si="68"/>
        <v/>
      </c>
      <c r="R543" s="39" t="str">
        <f t="shared" si="69"/>
        <v/>
      </c>
    </row>
    <row r="544" spans="6:18" x14ac:dyDescent="0.25">
      <c r="F544" s="35">
        <v>538</v>
      </c>
      <c r="L544" s="33" t="str">
        <f t="shared" si="63"/>
        <v/>
      </c>
      <c r="M544" t="str">
        <f t="shared" si="64"/>
        <v/>
      </c>
      <c r="N544" s="33" t="str">
        <f t="shared" si="65"/>
        <v/>
      </c>
      <c r="O544" s="33" t="str">
        <f t="shared" si="66"/>
        <v/>
      </c>
      <c r="P544" t="str">
        <f t="shared" si="67"/>
        <v/>
      </c>
      <c r="Q544" s="33" t="str">
        <f t="shared" si="68"/>
        <v/>
      </c>
      <c r="R544" s="39" t="str">
        <f t="shared" si="69"/>
        <v/>
      </c>
    </row>
    <row r="545" spans="6:18" x14ac:dyDescent="0.25">
      <c r="F545" s="35">
        <v>539</v>
      </c>
      <c r="L545" s="33" t="str">
        <f t="shared" si="63"/>
        <v/>
      </c>
      <c r="M545" t="str">
        <f t="shared" si="64"/>
        <v/>
      </c>
      <c r="N545" s="33" t="str">
        <f t="shared" si="65"/>
        <v/>
      </c>
      <c r="O545" s="33" t="str">
        <f t="shared" si="66"/>
        <v/>
      </c>
      <c r="P545" t="str">
        <f t="shared" si="67"/>
        <v/>
      </c>
      <c r="Q545" s="33" t="str">
        <f t="shared" si="68"/>
        <v/>
      </c>
      <c r="R545" s="39" t="str">
        <f t="shared" si="69"/>
        <v/>
      </c>
    </row>
    <row r="546" spans="6:18" x14ac:dyDescent="0.25">
      <c r="F546" s="35">
        <v>540</v>
      </c>
      <c r="L546" s="33" t="str">
        <f t="shared" si="63"/>
        <v/>
      </c>
      <c r="M546" t="str">
        <f t="shared" si="64"/>
        <v/>
      </c>
      <c r="N546" s="33" t="str">
        <f t="shared" si="65"/>
        <v/>
      </c>
      <c r="O546" s="33" t="str">
        <f t="shared" si="66"/>
        <v/>
      </c>
      <c r="P546" t="str">
        <f t="shared" si="67"/>
        <v/>
      </c>
      <c r="Q546" s="33" t="str">
        <f t="shared" si="68"/>
        <v/>
      </c>
      <c r="R546" s="39" t="str">
        <f t="shared" si="69"/>
        <v/>
      </c>
    </row>
    <row r="547" spans="6:18" x14ac:dyDescent="0.25">
      <c r="F547" s="35">
        <v>541</v>
      </c>
      <c r="L547" s="33" t="str">
        <f t="shared" si="63"/>
        <v/>
      </c>
      <c r="M547" t="str">
        <f t="shared" si="64"/>
        <v/>
      </c>
      <c r="N547" s="33" t="str">
        <f t="shared" si="65"/>
        <v/>
      </c>
      <c r="O547" s="33" t="str">
        <f t="shared" si="66"/>
        <v/>
      </c>
      <c r="P547" t="str">
        <f t="shared" si="67"/>
        <v/>
      </c>
      <c r="Q547" s="33" t="str">
        <f t="shared" si="68"/>
        <v/>
      </c>
      <c r="R547" s="39" t="str">
        <f t="shared" si="69"/>
        <v/>
      </c>
    </row>
    <row r="548" spans="6:18" x14ac:dyDescent="0.25">
      <c r="F548" s="35">
        <v>542</v>
      </c>
      <c r="L548" s="33" t="str">
        <f t="shared" si="63"/>
        <v/>
      </c>
      <c r="M548" t="str">
        <f t="shared" si="64"/>
        <v/>
      </c>
      <c r="N548" s="33" t="str">
        <f t="shared" si="65"/>
        <v/>
      </c>
      <c r="O548" s="33" t="str">
        <f t="shared" si="66"/>
        <v/>
      </c>
      <c r="P548" t="str">
        <f t="shared" si="67"/>
        <v/>
      </c>
      <c r="Q548" s="33" t="str">
        <f t="shared" si="68"/>
        <v/>
      </c>
      <c r="R548" s="39" t="str">
        <f t="shared" si="69"/>
        <v/>
      </c>
    </row>
    <row r="549" spans="6:18" x14ac:dyDescent="0.25">
      <c r="F549" s="35">
        <v>543</v>
      </c>
      <c r="L549" s="33" t="str">
        <f t="shared" si="63"/>
        <v/>
      </c>
      <c r="M549" t="str">
        <f t="shared" si="64"/>
        <v/>
      </c>
      <c r="N549" s="33" t="str">
        <f t="shared" si="65"/>
        <v/>
      </c>
      <c r="O549" s="33" t="str">
        <f t="shared" si="66"/>
        <v/>
      </c>
      <c r="P549" t="str">
        <f t="shared" si="67"/>
        <v/>
      </c>
      <c r="Q549" s="33" t="str">
        <f t="shared" si="68"/>
        <v/>
      </c>
      <c r="R549" s="39" t="str">
        <f t="shared" si="69"/>
        <v/>
      </c>
    </row>
    <row r="550" spans="6:18" x14ac:dyDescent="0.25">
      <c r="F550" s="35">
        <v>544</v>
      </c>
      <c r="L550" s="33" t="str">
        <f t="shared" si="63"/>
        <v/>
      </c>
      <c r="M550" t="str">
        <f t="shared" si="64"/>
        <v/>
      </c>
      <c r="N550" s="33" t="str">
        <f t="shared" si="65"/>
        <v/>
      </c>
      <c r="O550" s="33" t="str">
        <f t="shared" si="66"/>
        <v/>
      </c>
      <c r="P550" t="str">
        <f t="shared" si="67"/>
        <v/>
      </c>
      <c r="Q550" s="33" t="str">
        <f t="shared" si="68"/>
        <v/>
      </c>
      <c r="R550" s="39" t="str">
        <f t="shared" si="69"/>
        <v/>
      </c>
    </row>
    <row r="551" spans="6:18" x14ac:dyDescent="0.25">
      <c r="F551" s="35">
        <v>545</v>
      </c>
      <c r="L551" s="33" t="str">
        <f t="shared" si="63"/>
        <v/>
      </c>
      <c r="M551" t="str">
        <f t="shared" si="64"/>
        <v/>
      </c>
      <c r="N551" s="33" t="str">
        <f t="shared" si="65"/>
        <v/>
      </c>
      <c r="O551" s="33" t="str">
        <f t="shared" si="66"/>
        <v/>
      </c>
      <c r="P551" t="str">
        <f t="shared" si="67"/>
        <v/>
      </c>
      <c r="Q551" s="33" t="str">
        <f t="shared" si="68"/>
        <v/>
      </c>
      <c r="R551" s="39" t="str">
        <f t="shared" si="69"/>
        <v/>
      </c>
    </row>
    <row r="552" spans="6:18" x14ac:dyDescent="0.25">
      <c r="F552" s="35">
        <v>546</v>
      </c>
      <c r="L552" s="33" t="str">
        <f t="shared" si="63"/>
        <v/>
      </c>
      <c r="M552" t="str">
        <f t="shared" si="64"/>
        <v/>
      </c>
      <c r="N552" s="33" t="str">
        <f t="shared" si="65"/>
        <v/>
      </c>
      <c r="O552" s="33" t="str">
        <f t="shared" si="66"/>
        <v/>
      </c>
      <c r="P552" t="str">
        <f t="shared" si="67"/>
        <v/>
      </c>
      <c r="Q552" s="33" t="str">
        <f t="shared" si="68"/>
        <v/>
      </c>
      <c r="R552" s="39" t="str">
        <f t="shared" si="69"/>
        <v/>
      </c>
    </row>
    <row r="553" spans="6:18" x14ac:dyDescent="0.25">
      <c r="F553" s="35">
        <v>547</v>
      </c>
      <c r="L553" s="33" t="str">
        <f t="shared" si="63"/>
        <v/>
      </c>
      <c r="M553" t="str">
        <f t="shared" si="64"/>
        <v/>
      </c>
      <c r="N553" s="33" t="str">
        <f t="shared" si="65"/>
        <v/>
      </c>
      <c r="O553" s="33" t="str">
        <f t="shared" si="66"/>
        <v/>
      </c>
      <c r="P553" t="str">
        <f t="shared" si="67"/>
        <v/>
      </c>
      <c r="Q553" s="33" t="str">
        <f t="shared" si="68"/>
        <v/>
      </c>
      <c r="R553" s="39" t="str">
        <f t="shared" si="69"/>
        <v/>
      </c>
    </row>
    <row r="554" spans="6:18" x14ac:dyDescent="0.25">
      <c r="F554" s="35">
        <v>548</v>
      </c>
      <c r="L554" s="33" t="str">
        <f t="shared" si="63"/>
        <v/>
      </c>
      <c r="M554" t="str">
        <f t="shared" si="64"/>
        <v/>
      </c>
      <c r="N554" s="33" t="str">
        <f t="shared" si="65"/>
        <v/>
      </c>
      <c r="O554" s="33" t="str">
        <f t="shared" si="66"/>
        <v/>
      </c>
      <c r="P554" t="str">
        <f t="shared" si="67"/>
        <v/>
      </c>
      <c r="Q554" s="33" t="str">
        <f t="shared" si="68"/>
        <v/>
      </c>
      <c r="R554" s="39" t="str">
        <f t="shared" si="69"/>
        <v/>
      </c>
    </row>
    <row r="555" spans="6:18" x14ac:dyDescent="0.25">
      <c r="F555" s="35">
        <v>549</v>
      </c>
      <c r="L555" s="33" t="str">
        <f t="shared" si="63"/>
        <v/>
      </c>
      <c r="M555" t="str">
        <f t="shared" si="64"/>
        <v/>
      </c>
      <c r="N555" s="33" t="str">
        <f t="shared" si="65"/>
        <v/>
      </c>
      <c r="O555" s="33" t="str">
        <f t="shared" si="66"/>
        <v/>
      </c>
      <c r="P555" t="str">
        <f t="shared" si="67"/>
        <v/>
      </c>
      <c r="Q555" s="33" t="str">
        <f t="shared" si="68"/>
        <v/>
      </c>
      <c r="R555" s="39" t="str">
        <f t="shared" si="69"/>
        <v/>
      </c>
    </row>
    <row r="556" spans="6:18" x14ac:dyDescent="0.25">
      <c r="F556" s="35">
        <v>550</v>
      </c>
      <c r="L556" s="33" t="str">
        <f t="shared" si="63"/>
        <v/>
      </c>
      <c r="M556" t="str">
        <f t="shared" si="64"/>
        <v/>
      </c>
      <c r="N556" s="33" t="str">
        <f t="shared" si="65"/>
        <v/>
      </c>
      <c r="O556" s="33" t="str">
        <f t="shared" si="66"/>
        <v/>
      </c>
      <c r="P556" t="str">
        <f t="shared" si="67"/>
        <v/>
      </c>
      <c r="Q556" s="33" t="str">
        <f t="shared" si="68"/>
        <v/>
      </c>
      <c r="R556" s="39" t="str">
        <f t="shared" si="69"/>
        <v/>
      </c>
    </row>
    <row r="557" spans="6:18" x14ac:dyDescent="0.25">
      <c r="F557" s="35">
        <v>551</v>
      </c>
      <c r="L557" s="33" t="str">
        <f t="shared" si="63"/>
        <v/>
      </c>
      <c r="M557" t="str">
        <f t="shared" si="64"/>
        <v/>
      </c>
      <c r="N557" s="33" t="str">
        <f t="shared" si="65"/>
        <v/>
      </c>
      <c r="O557" s="33" t="str">
        <f t="shared" si="66"/>
        <v/>
      </c>
      <c r="P557" t="str">
        <f t="shared" si="67"/>
        <v/>
      </c>
      <c r="Q557" s="33" t="str">
        <f t="shared" si="68"/>
        <v/>
      </c>
      <c r="R557" s="39" t="str">
        <f t="shared" si="69"/>
        <v/>
      </c>
    </row>
    <row r="558" spans="6:18" x14ac:dyDescent="0.25">
      <c r="F558" s="35">
        <v>552</v>
      </c>
      <c r="L558" s="33" t="str">
        <f t="shared" si="63"/>
        <v/>
      </c>
      <c r="M558" t="str">
        <f t="shared" si="64"/>
        <v/>
      </c>
      <c r="N558" s="33" t="str">
        <f t="shared" si="65"/>
        <v/>
      </c>
      <c r="O558" s="33" t="str">
        <f t="shared" si="66"/>
        <v/>
      </c>
      <c r="P558" t="str">
        <f t="shared" si="67"/>
        <v/>
      </c>
      <c r="Q558" s="33" t="str">
        <f t="shared" si="68"/>
        <v/>
      </c>
      <c r="R558" s="39" t="str">
        <f t="shared" si="69"/>
        <v/>
      </c>
    </row>
    <row r="559" spans="6:18" x14ac:dyDescent="0.25">
      <c r="F559" s="35">
        <v>553</v>
      </c>
      <c r="L559" s="33" t="str">
        <f t="shared" si="63"/>
        <v/>
      </c>
      <c r="M559" t="str">
        <f t="shared" si="64"/>
        <v/>
      </c>
      <c r="N559" s="33" t="str">
        <f t="shared" si="65"/>
        <v/>
      </c>
      <c r="O559" s="33" t="str">
        <f t="shared" si="66"/>
        <v/>
      </c>
      <c r="P559" t="str">
        <f t="shared" si="67"/>
        <v/>
      </c>
      <c r="Q559" s="33" t="str">
        <f t="shared" si="68"/>
        <v/>
      </c>
      <c r="R559" s="39" t="str">
        <f t="shared" si="69"/>
        <v/>
      </c>
    </row>
    <row r="560" spans="6:18" x14ac:dyDescent="0.25">
      <c r="F560" s="35">
        <v>554</v>
      </c>
      <c r="L560" s="33" t="str">
        <f t="shared" si="63"/>
        <v/>
      </c>
      <c r="M560" t="str">
        <f t="shared" si="64"/>
        <v/>
      </c>
      <c r="N560" s="33" t="str">
        <f t="shared" si="65"/>
        <v/>
      </c>
      <c r="O560" s="33" t="str">
        <f t="shared" si="66"/>
        <v/>
      </c>
      <c r="P560" t="str">
        <f t="shared" si="67"/>
        <v/>
      </c>
      <c r="Q560" s="33" t="str">
        <f t="shared" si="68"/>
        <v/>
      </c>
      <c r="R560" s="39" t="str">
        <f t="shared" si="69"/>
        <v/>
      </c>
    </row>
    <row r="561" spans="6:18" x14ac:dyDescent="0.25">
      <c r="F561" s="35">
        <v>555</v>
      </c>
      <c r="L561" s="33" t="str">
        <f t="shared" si="63"/>
        <v/>
      </c>
      <c r="M561" t="str">
        <f t="shared" si="64"/>
        <v/>
      </c>
      <c r="N561" s="33" t="str">
        <f t="shared" si="65"/>
        <v/>
      </c>
      <c r="O561" s="33" t="str">
        <f t="shared" si="66"/>
        <v/>
      </c>
      <c r="P561" t="str">
        <f t="shared" si="67"/>
        <v/>
      </c>
      <c r="Q561" s="33" t="str">
        <f t="shared" si="68"/>
        <v/>
      </c>
      <c r="R561" s="39" t="str">
        <f t="shared" si="69"/>
        <v/>
      </c>
    </row>
    <row r="562" spans="6:18" x14ac:dyDescent="0.25">
      <c r="F562" s="35">
        <v>556</v>
      </c>
      <c r="L562" s="33" t="str">
        <f t="shared" si="63"/>
        <v/>
      </c>
      <c r="M562" t="str">
        <f t="shared" si="64"/>
        <v/>
      </c>
      <c r="N562" s="33" t="str">
        <f t="shared" si="65"/>
        <v/>
      </c>
      <c r="O562" s="33" t="str">
        <f t="shared" si="66"/>
        <v/>
      </c>
      <c r="P562" t="str">
        <f t="shared" si="67"/>
        <v/>
      </c>
      <c r="Q562" s="33" t="str">
        <f t="shared" si="68"/>
        <v/>
      </c>
      <c r="R562" s="39" t="str">
        <f t="shared" si="69"/>
        <v/>
      </c>
    </row>
    <row r="563" spans="6:18" x14ac:dyDescent="0.25">
      <c r="F563" s="35">
        <v>557</v>
      </c>
      <c r="L563" s="33" t="str">
        <f t="shared" si="63"/>
        <v/>
      </c>
      <c r="M563" t="str">
        <f t="shared" si="64"/>
        <v/>
      </c>
      <c r="N563" s="33" t="str">
        <f t="shared" si="65"/>
        <v/>
      </c>
      <c r="O563" s="33" t="str">
        <f t="shared" si="66"/>
        <v/>
      </c>
      <c r="P563" t="str">
        <f t="shared" si="67"/>
        <v/>
      </c>
      <c r="Q563" s="33" t="str">
        <f t="shared" si="68"/>
        <v/>
      </c>
      <c r="R563" s="39" t="str">
        <f t="shared" si="69"/>
        <v/>
      </c>
    </row>
    <row r="564" spans="6:18" x14ac:dyDescent="0.25">
      <c r="F564" s="35">
        <v>558</v>
      </c>
      <c r="L564" s="33" t="str">
        <f t="shared" si="63"/>
        <v/>
      </c>
      <c r="M564" t="str">
        <f t="shared" si="64"/>
        <v/>
      </c>
      <c r="N564" s="33" t="str">
        <f t="shared" si="65"/>
        <v/>
      </c>
      <c r="O564" s="33" t="str">
        <f t="shared" si="66"/>
        <v/>
      </c>
      <c r="P564" t="str">
        <f t="shared" si="67"/>
        <v/>
      </c>
      <c r="Q564" s="33" t="str">
        <f t="shared" si="68"/>
        <v/>
      </c>
      <c r="R564" s="39" t="str">
        <f t="shared" si="69"/>
        <v/>
      </c>
    </row>
    <row r="565" spans="6:18" x14ac:dyDescent="0.25">
      <c r="F565" s="35">
        <v>559</v>
      </c>
      <c r="L565" s="33" t="str">
        <f t="shared" si="63"/>
        <v/>
      </c>
      <c r="M565" t="str">
        <f t="shared" si="64"/>
        <v/>
      </c>
      <c r="N565" s="33" t="str">
        <f t="shared" si="65"/>
        <v/>
      </c>
      <c r="O565" s="33" t="str">
        <f t="shared" si="66"/>
        <v/>
      </c>
      <c r="P565" t="str">
        <f t="shared" si="67"/>
        <v/>
      </c>
      <c r="Q565" s="33" t="str">
        <f t="shared" si="68"/>
        <v/>
      </c>
      <c r="R565" s="39" t="str">
        <f t="shared" si="69"/>
        <v/>
      </c>
    </row>
    <row r="566" spans="6:18" x14ac:dyDescent="0.25">
      <c r="F566" s="35">
        <v>560</v>
      </c>
      <c r="L566" s="33" t="str">
        <f t="shared" si="63"/>
        <v/>
      </c>
      <c r="M566" t="str">
        <f t="shared" si="64"/>
        <v/>
      </c>
      <c r="N566" s="33" t="str">
        <f t="shared" si="65"/>
        <v/>
      </c>
      <c r="O566" s="33" t="str">
        <f t="shared" si="66"/>
        <v/>
      </c>
      <c r="P566" t="str">
        <f t="shared" si="67"/>
        <v/>
      </c>
      <c r="Q566" s="33" t="str">
        <f t="shared" si="68"/>
        <v/>
      </c>
      <c r="R566" s="39" t="str">
        <f t="shared" si="69"/>
        <v/>
      </c>
    </row>
    <row r="567" spans="6:18" x14ac:dyDescent="0.25">
      <c r="F567" s="35">
        <v>561</v>
      </c>
      <c r="L567" s="33" t="str">
        <f t="shared" si="63"/>
        <v/>
      </c>
      <c r="M567" t="str">
        <f t="shared" si="64"/>
        <v/>
      </c>
      <c r="N567" s="33" t="str">
        <f t="shared" si="65"/>
        <v/>
      </c>
      <c r="O567" s="33" t="str">
        <f t="shared" si="66"/>
        <v/>
      </c>
      <c r="P567" t="str">
        <f t="shared" si="67"/>
        <v/>
      </c>
      <c r="Q567" s="33" t="str">
        <f t="shared" si="68"/>
        <v/>
      </c>
      <c r="R567" s="39" t="str">
        <f t="shared" si="69"/>
        <v/>
      </c>
    </row>
    <row r="568" spans="6:18" x14ac:dyDescent="0.25">
      <c r="F568" s="35">
        <v>562</v>
      </c>
      <c r="L568" s="33" t="str">
        <f t="shared" si="63"/>
        <v/>
      </c>
      <c r="M568" t="str">
        <f t="shared" si="64"/>
        <v/>
      </c>
      <c r="N568" s="33" t="str">
        <f t="shared" si="65"/>
        <v/>
      </c>
      <c r="O568" s="33" t="str">
        <f t="shared" si="66"/>
        <v/>
      </c>
      <c r="P568" t="str">
        <f t="shared" si="67"/>
        <v/>
      </c>
      <c r="Q568" s="33" t="str">
        <f t="shared" si="68"/>
        <v/>
      </c>
      <c r="R568" s="39" t="str">
        <f t="shared" si="69"/>
        <v/>
      </c>
    </row>
    <row r="569" spans="6:18" x14ac:dyDescent="0.25">
      <c r="F569" s="35">
        <v>563</v>
      </c>
      <c r="L569" s="33" t="str">
        <f t="shared" si="63"/>
        <v/>
      </c>
      <c r="M569" t="str">
        <f t="shared" si="64"/>
        <v/>
      </c>
      <c r="N569" s="33" t="str">
        <f t="shared" si="65"/>
        <v/>
      </c>
      <c r="O569" s="33" t="str">
        <f t="shared" si="66"/>
        <v/>
      </c>
      <c r="P569" t="str">
        <f t="shared" si="67"/>
        <v/>
      </c>
      <c r="Q569" s="33" t="str">
        <f t="shared" si="68"/>
        <v/>
      </c>
      <c r="R569" s="39" t="str">
        <f t="shared" si="69"/>
        <v/>
      </c>
    </row>
    <row r="570" spans="6:18" x14ac:dyDescent="0.25">
      <c r="F570" s="35">
        <v>564</v>
      </c>
      <c r="L570" s="33" t="str">
        <f t="shared" si="63"/>
        <v/>
      </c>
      <c r="M570" t="str">
        <f t="shared" si="64"/>
        <v/>
      </c>
      <c r="N570" s="33" t="str">
        <f t="shared" si="65"/>
        <v/>
      </c>
      <c r="O570" s="33" t="str">
        <f t="shared" si="66"/>
        <v/>
      </c>
      <c r="P570" t="str">
        <f t="shared" si="67"/>
        <v/>
      </c>
      <c r="Q570" s="33" t="str">
        <f t="shared" si="68"/>
        <v/>
      </c>
      <c r="R570" s="39" t="str">
        <f t="shared" si="69"/>
        <v/>
      </c>
    </row>
    <row r="571" spans="6:18" x14ac:dyDescent="0.25">
      <c r="F571" s="35">
        <v>565</v>
      </c>
      <c r="L571" s="33" t="str">
        <f t="shared" si="63"/>
        <v/>
      </c>
      <c r="M571" t="str">
        <f t="shared" si="64"/>
        <v/>
      </c>
      <c r="N571" s="33" t="str">
        <f t="shared" si="65"/>
        <v/>
      </c>
      <c r="O571" s="33" t="str">
        <f t="shared" si="66"/>
        <v/>
      </c>
      <c r="P571" t="str">
        <f t="shared" si="67"/>
        <v/>
      </c>
      <c r="Q571" s="33" t="str">
        <f t="shared" si="68"/>
        <v/>
      </c>
      <c r="R571" s="39" t="str">
        <f t="shared" si="69"/>
        <v/>
      </c>
    </row>
    <row r="572" spans="6:18" x14ac:dyDescent="0.25">
      <c r="F572" s="35">
        <v>566</v>
      </c>
      <c r="L572" s="33" t="str">
        <f t="shared" si="63"/>
        <v/>
      </c>
      <c r="M572" t="str">
        <f t="shared" si="64"/>
        <v/>
      </c>
      <c r="N572" s="33" t="str">
        <f t="shared" si="65"/>
        <v/>
      </c>
      <c r="O572" s="33" t="str">
        <f t="shared" si="66"/>
        <v/>
      </c>
      <c r="P572" t="str">
        <f t="shared" si="67"/>
        <v/>
      </c>
      <c r="Q572" s="33" t="str">
        <f t="shared" si="68"/>
        <v/>
      </c>
      <c r="R572" s="39" t="str">
        <f t="shared" si="69"/>
        <v/>
      </c>
    </row>
    <row r="573" spans="6:18" x14ac:dyDescent="0.25">
      <c r="F573" s="35">
        <v>567</v>
      </c>
      <c r="L573" s="33" t="str">
        <f t="shared" si="63"/>
        <v/>
      </c>
      <c r="M573" t="str">
        <f t="shared" si="64"/>
        <v/>
      </c>
      <c r="N573" s="33" t="str">
        <f t="shared" si="65"/>
        <v/>
      </c>
      <c r="O573" s="33" t="str">
        <f t="shared" si="66"/>
        <v/>
      </c>
      <c r="P573" t="str">
        <f t="shared" si="67"/>
        <v/>
      </c>
      <c r="Q573" s="33" t="str">
        <f t="shared" si="68"/>
        <v/>
      </c>
      <c r="R573" s="39" t="str">
        <f t="shared" si="69"/>
        <v/>
      </c>
    </row>
    <row r="574" spans="6:18" x14ac:dyDescent="0.25">
      <c r="F574" s="35">
        <v>568</v>
      </c>
      <c r="L574" s="33" t="str">
        <f t="shared" si="63"/>
        <v/>
      </c>
      <c r="M574" t="str">
        <f t="shared" si="64"/>
        <v/>
      </c>
      <c r="N574" s="33" t="str">
        <f t="shared" si="65"/>
        <v/>
      </c>
      <c r="O574" s="33" t="str">
        <f t="shared" si="66"/>
        <v/>
      </c>
      <c r="P574" t="str">
        <f t="shared" si="67"/>
        <v/>
      </c>
      <c r="Q574" s="33" t="str">
        <f t="shared" si="68"/>
        <v/>
      </c>
      <c r="R574" s="39" t="str">
        <f t="shared" si="69"/>
        <v/>
      </c>
    </row>
    <row r="575" spans="6:18" x14ac:dyDescent="0.25">
      <c r="F575" s="35">
        <v>569</v>
      </c>
      <c r="L575" s="33" t="str">
        <f t="shared" si="63"/>
        <v/>
      </c>
      <c r="M575" t="str">
        <f t="shared" si="64"/>
        <v/>
      </c>
      <c r="N575" s="33" t="str">
        <f t="shared" si="65"/>
        <v/>
      </c>
      <c r="O575" s="33" t="str">
        <f t="shared" si="66"/>
        <v/>
      </c>
      <c r="P575" t="str">
        <f t="shared" si="67"/>
        <v/>
      </c>
      <c r="Q575" s="33" t="str">
        <f t="shared" si="68"/>
        <v/>
      </c>
      <c r="R575" s="39" t="str">
        <f t="shared" si="69"/>
        <v/>
      </c>
    </row>
    <row r="576" spans="6:18" x14ac:dyDescent="0.25">
      <c r="F576" s="35">
        <v>570</v>
      </c>
      <c r="L576" s="33" t="str">
        <f t="shared" si="63"/>
        <v/>
      </c>
      <c r="M576" t="str">
        <f t="shared" si="64"/>
        <v/>
      </c>
      <c r="N576" s="33" t="str">
        <f t="shared" si="65"/>
        <v/>
      </c>
      <c r="O576" s="33" t="str">
        <f t="shared" si="66"/>
        <v/>
      </c>
      <c r="P576" t="str">
        <f t="shared" si="67"/>
        <v/>
      </c>
      <c r="Q576" s="33" t="str">
        <f t="shared" si="68"/>
        <v/>
      </c>
      <c r="R576" s="39" t="str">
        <f t="shared" si="69"/>
        <v/>
      </c>
    </row>
    <row r="577" spans="6:18" x14ac:dyDescent="0.25">
      <c r="F577" s="35">
        <v>571</v>
      </c>
      <c r="L577" s="33" t="str">
        <f t="shared" si="63"/>
        <v/>
      </c>
      <c r="M577" t="str">
        <f t="shared" si="64"/>
        <v/>
      </c>
      <c r="N577" s="33" t="str">
        <f t="shared" si="65"/>
        <v/>
      </c>
      <c r="O577" s="33" t="str">
        <f t="shared" si="66"/>
        <v/>
      </c>
      <c r="P577" t="str">
        <f t="shared" si="67"/>
        <v/>
      </c>
      <c r="Q577" s="33" t="str">
        <f t="shared" si="68"/>
        <v/>
      </c>
      <c r="R577" s="39" t="str">
        <f t="shared" si="69"/>
        <v/>
      </c>
    </row>
    <row r="578" spans="6:18" x14ac:dyDescent="0.25">
      <c r="F578" s="35">
        <v>572</v>
      </c>
      <c r="L578" s="33" t="str">
        <f t="shared" si="63"/>
        <v/>
      </c>
      <c r="M578" t="str">
        <f t="shared" si="64"/>
        <v/>
      </c>
      <c r="N578" s="33" t="str">
        <f t="shared" si="65"/>
        <v/>
      </c>
      <c r="O578" s="33" t="str">
        <f t="shared" si="66"/>
        <v/>
      </c>
      <c r="P578" t="str">
        <f t="shared" si="67"/>
        <v/>
      </c>
      <c r="Q578" s="33" t="str">
        <f t="shared" si="68"/>
        <v/>
      </c>
      <c r="R578" s="39" t="str">
        <f t="shared" si="69"/>
        <v/>
      </c>
    </row>
    <row r="579" spans="6:18" x14ac:dyDescent="0.25">
      <c r="F579" s="35">
        <v>573</v>
      </c>
      <c r="L579" s="33" t="str">
        <f t="shared" si="63"/>
        <v/>
      </c>
      <c r="M579" t="str">
        <f t="shared" si="64"/>
        <v/>
      </c>
      <c r="N579" s="33" t="str">
        <f t="shared" si="65"/>
        <v/>
      </c>
      <c r="O579" s="33" t="str">
        <f t="shared" si="66"/>
        <v/>
      </c>
      <c r="P579" t="str">
        <f t="shared" si="67"/>
        <v/>
      </c>
      <c r="Q579" s="33" t="str">
        <f t="shared" si="68"/>
        <v/>
      </c>
      <c r="R579" s="39" t="str">
        <f t="shared" si="69"/>
        <v/>
      </c>
    </row>
    <row r="580" spans="6:18" x14ac:dyDescent="0.25">
      <c r="F580" s="35">
        <v>574</v>
      </c>
      <c r="L580" s="33" t="str">
        <f t="shared" si="63"/>
        <v/>
      </c>
      <c r="M580" t="str">
        <f t="shared" si="64"/>
        <v/>
      </c>
      <c r="N580" s="33" t="str">
        <f t="shared" si="65"/>
        <v/>
      </c>
      <c r="O580" s="33" t="str">
        <f t="shared" si="66"/>
        <v/>
      </c>
      <c r="P580" t="str">
        <f t="shared" si="67"/>
        <v/>
      </c>
      <c r="Q580" s="33" t="str">
        <f t="shared" si="68"/>
        <v/>
      </c>
      <c r="R580" s="39" t="str">
        <f t="shared" si="69"/>
        <v/>
      </c>
    </row>
    <row r="581" spans="6:18" x14ac:dyDescent="0.25">
      <c r="F581" s="35">
        <v>575</v>
      </c>
      <c r="L581" s="33" t="str">
        <f t="shared" si="63"/>
        <v/>
      </c>
      <c r="M581" t="str">
        <f t="shared" si="64"/>
        <v/>
      </c>
      <c r="N581" s="33" t="str">
        <f t="shared" si="65"/>
        <v/>
      </c>
      <c r="O581" s="33" t="str">
        <f t="shared" si="66"/>
        <v/>
      </c>
      <c r="P581" t="str">
        <f t="shared" si="67"/>
        <v/>
      </c>
      <c r="Q581" s="33" t="str">
        <f t="shared" si="68"/>
        <v/>
      </c>
      <c r="R581" s="39" t="str">
        <f t="shared" si="69"/>
        <v/>
      </c>
    </row>
    <row r="582" spans="6:18" x14ac:dyDescent="0.25">
      <c r="F582" s="35">
        <v>576</v>
      </c>
      <c r="L582" s="33" t="str">
        <f t="shared" si="63"/>
        <v/>
      </c>
      <c r="M582" t="str">
        <f t="shared" si="64"/>
        <v/>
      </c>
      <c r="N582" s="33" t="str">
        <f t="shared" si="65"/>
        <v/>
      </c>
      <c r="O582" s="33" t="str">
        <f t="shared" si="66"/>
        <v/>
      </c>
      <c r="P582" t="str">
        <f t="shared" si="67"/>
        <v/>
      </c>
      <c r="Q582" s="33" t="str">
        <f t="shared" si="68"/>
        <v/>
      </c>
      <c r="R582" s="39" t="str">
        <f t="shared" si="69"/>
        <v/>
      </c>
    </row>
    <row r="583" spans="6:18" x14ac:dyDescent="0.25">
      <c r="F583" s="35">
        <v>577</v>
      </c>
      <c r="L583" s="33" t="str">
        <f t="shared" si="63"/>
        <v/>
      </c>
      <c r="M583" t="str">
        <f t="shared" si="64"/>
        <v/>
      </c>
      <c r="N583" s="33" t="str">
        <f t="shared" si="65"/>
        <v/>
      </c>
      <c r="O583" s="33" t="str">
        <f t="shared" si="66"/>
        <v/>
      </c>
      <c r="P583" t="str">
        <f t="shared" si="67"/>
        <v/>
      </c>
      <c r="Q583" s="33" t="str">
        <f t="shared" si="68"/>
        <v/>
      </c>
      <c r="R583" s="39" t="str">
        <f t="shared" si="69"/>
        <v/>
      </c>
    </row>
    <row r="584" spans="6:18" x14ac:dyDescent="0.25">
      <c r="F584" s="35">
        <v>578</v>
      </c>
      <c r="L584" s="33" t="str">
        <f t="shared" ref="L584:L647" si="70">IF(G584="","",$C$4*$C$6*$C$7/360)</f>
        <v/>
      </c>
      <c r="M584" t="str">
        <f t="shared" ref="M584:M647" si="71">IF(G584="","",IF(H584=$G$2,100,0))</f>
        <v/>
      </c>
      <c r="N584" s="33" t="str">
        <f t="shared" ref="N584:N647" si="72">IF(G584="","",L584+M584)</f>
        <v/>
      </c>
      <c r="O584" s="33" t="str">
        <f t="shared" ref="O584:O647" si="73">IF(G584="","",1/(1+$C$5*K584/360)^(J584/K584))</f>
        <v/>
      </c>
      <c r="P584" t="str">
        <f t="shared" ref="P584:P647" si="74">IF(G584="","",H584-$C$12)</f>
        <v/>
      </c>
      <c r="Q584" s="33" t="str">
        <f t="shared" ref="Q584:Q647" si="75">IF(G584="","",(P584/K584))</f>
        <v/>
      </c>
      <c r="R584" s="39" t="str">
        <f t="shared" ref="R584:R647" si="76">IF(G584="","",N584*O584)</f>
        <v/>
      </c>
    </row>
    <row r="585" spans="6:18" x14ac:dyDescent="0.25">
      <c r="F585" s="35">
        <v>579</v>
      </c>
      <c r="L585" s="33" t="str">
        <f t="shared" si="70"/>
        <v/>
      </c>
      <c r="M585" t="str">
        <f t="shared" si="71"/>
        <v/>
      </c>
      <c r="N585" s="33" t="str">
        <f t="shared" si="72"/>
        <v/>
      </c>
      <c r="O585" s="33" t="str">
        <f t="shared" si="73"/>
        <v/>
      </c>
      <c r="P585" t="str">
        <f t="shared" si="74"/>
        <v/>
      </c>
      <c r="Q585" s="33" t="str">
        <f t="shared" si="75"/>
        <v/>
      </c>
      <c r="R585" s="39" t="str">
        <f t="shared" si="76"/>
        <v/>
      </c>
    </row>
    <row r="586" spans="6:18" x14ac:dyDescent="0.25">
      <c r="F586" s="35">
        <v>580</v>
      </c>
      <c r="L586" s="33" t="str">
        <f t="shared" si="70"/>
        <v/>
      </c>
      <c r="M586" t="str">
        <f t="shared" si="71"/>
        <v/>
      </c>
      <c r="N586" s="33" t="str">
        <f t="shared" si="72"/>
        <v/>
      </c>
      <c r="O586" s="33" t="str">
        <f t="shared" si="73"/>
        <v/>
      </c>
      <c r="P586" t="str">
        <f t="shared" si="74"/>
        <v/>
      </c>
      <c r="Q586" s="33" t="str">
        <f t="shared" si="75"/>
        <v/>
      </c>
      <c r="R586" s="39" t="str">
        <f t="shared" si="76"/>
        <v/>
      </c>
    </row>
    <row r="587" spans="6:18" x14ac:dyDescent="0.25">
      <c r="F587" s="35">
        <v>581</v>
      </c>
      <c r="L587" s="33" t="str">
        <f t="shared" si="70"/>
        <v/>
      </c>
      <c r="M587" t="str">
        <f t="shared" si="71"/>
        <v/>
      </c>
      <c r="N587" s="33" t="str">
        <f t="shared" si="72"/>
        <v/>
      </c>
      <c r="O587" s="33" t="str">
        <f t="shared" si="73"/>
        <v/>
      </c>
      <c r="P587" t="str">
        <f t="shared" si="74"/>
        <v/>
      </c>
      <c r="Q587" s="33" t="str">
        <f t="shared" si="75"/>
        <v/>
      </c>
      <c r="R587" s="39" t="str">
        <f t="shared" si="76"/>
        <v/>
      </c>
    </row>
    <row r="588" spans="6:18" x14ac:dyDescent="0.25">
      <c r="F588" s="35">
        <v>582</v>
      </c>
      <c r="L588" s="33" t="str">
        <f t="shared" si="70"/>
        <v/>
      </c>
      <c r="M588" t="str">
        <f t="shared" si="71"/>
        <v/>
      </c>
      <c r="N588" s="33" t="str">
        <f t="shared" si="72"/>
        <v/>
      </c>
      <c r="O588" s="33" t="str">
        <f t="shared" si="73"/>
        <v/>
      </c>
      <c r="P588" t="str">
        <f t="shared" si="74"/>
        <v/>
      </c>
      <c r="Q588" s="33" t="str">
        <f t="shared" si="75"/>
        <v/>
      </c>
      <c r="R588" s="39" t="str">
        <f t="shared" si="76"/>
        <v/>
      </c>
    </row>
    <row r="589" spans="6:18" x14ac:dyDescent="0.25">
      <c r="F589" s="35">
        <v>583</v>
      </c>
      <c r="L589" s="33" t="str">
        <f t="shared" si="70"/>
        <v/>
      </c>
      <c r="M589" t="str">
        <f t="shared" si="71"/>
        <v/>
      </c>
      <c r="N589" s="33" t="str">
        <f t="shared" si="72"/>
        <v/>
      </c>
      <c r="O589" s="33" t="str">
        <f t="shared" si="73"/>
        <v/>
      </c>
      <c r="P589" t="str">
        <f t="shared" si="74"/>
        <v/>
      </c>
      <c r="Q589" s="33" t="str">
        <f t="shared" si="75"/>
        <v/>
      </c>
      <c r="R589" s="39" t="str">
        <f t="shared" si="76"/>
        <v/>
      </c>
    </row>
    <row r="590" spans="6:18" x14ac:dyDescent="0.25">
      <c r="F590" s="35">
        <v>584</v>
      </c>
      <c r="L590" s="33" t="str">
        <f t="shared" si="70"/>
        <v/>
      </c>
      <c r="M590" t="str">
        <f t="shared" si="71"/>
        <v/>
      </c>
      <c r="N590" s="33" t="str">
        <f t="shared" si="72"/>
        <v/>
      </c>
      <c r="O590" s="33" t="str">
        <f t="shared" si="73"/>
        <v/>
      </c>
      <c r="P590" t="str">
        <f t="shared" si="74"/>
        <v/>
      </c>
      <c r="Q590" s="33" t="str">
        <f t="shared" si="75"/>
        <v/>
      </c>
      <c r="R590" s="39" t="str">
        <f t="shared" si="76"/>
        <v/>
      </c>
    </row>
    <row r="591" spans="6:18" x14ac:dyDescent="0.25">
      <c r="F591" s="35">
        <v>585</v>
      </c>
      <c r="L591" s="33" t="str">
        <f t="shared" si="70"/>
        <v/>
      </c>
      <c r="M591" t="str">
        <f t="shared" si="71"/>
        <v/>
      </c>
      <c r="N591" s="33" t="str">
        <f t="shared" si="72"/>
        <v/>
      </c>
      <c r="O591" s="33" t="str">
        <f t="shared" si="73"/>
        <v/>
      </c>
      <c r="P591" t="str">
        <f t="shared" si="74"/>
        <v/>
      </c>
      <c r="Q591" s="33" t="str">
        <f t="shared" si="75"/>
        <v/>
      </c>
      <c r="R591" s="39" t="str">
        <f t="shared" si="76"/>
        <v/>
      </c>
    </row>
    <row r="592" spans="6:18" x14ac:dyDescent="0.25">
      <c r="F592" s="35">
        <v>586</v>
      </c>
      <c r="L592" s="33" t="str">
        <f t="shared" si="70"/>
        <v/>
      </c>
      <c r="M592" t="str">
        <f t="shared" si="71"/>
        <v/>
      </c>
      <c r="N592" s="33" t="str">
        <f t="shared" si="72"/>
        <v/>
      </c>
      <c r="O592" s="33" t="str">
        <f t="shared" si="73"/>
        <v/>
      </c>
      <c r="P592" t="str">
        <f t="shared" si="74"/>
        <v/>
      </c>
      <c r="Q592" s="33" t="str">
        <f t="shared" si="75"/>
        <v/>
      </c>
      <c r="R592" s="39" t="str">
        <f t="shared" si="76"/>
        <v/>
      </c>
    </row>
    <row r="593" spans="6:18" x14ac:dyDescent="0.25">
      <c r="F593" s="35">
        <v>587</v>
      </c>
      <c r="L593" s="33" t="str">
        <f t="shared" si="70"/>
        <v/>
      </c>
      <c r="M593" t="str">
        <f t="shared" si="71"/>
        <v/>
      </c>
      <c r="N593" s="33" t="str">
        <f t="shared" si="72"/>
        <v/>
      </c>
      <c r="O593" s="33" t="str">
        <f t="shared" si="73"/>
        <v/>
      </c>
      <c r="P593" t="str">
        <f t="shared" si="74"/>
        <v/>
      </c>
      <c r="Q593" s="33" t="str">
        <f t="shared" si="75"/>
        <v/>
      </c>
      <c r="R593" s="39" t="str">
        <f t="shared" si="76"/>
        <v/>
      </c>
    </row>
    <row r="594" spans="6:18" x14ac:dyDescent="0.25">
      <c r="F594" s="35">
        <v>588</v>
      </c>
      <c r="L594" s="33" t="str">
        <f t="shared" si="70"/>
        <v/>
      </c>
      <c r="M594" t="str">
        <f t="shared" si="71"/>
        <v/>
      </c>
      <c r="N594" s="33" t="str">
        <f t="shared" si="72"/>
        <v/>
      </c>
      <c r="O594" s="33" t="str">
        <f t="shared" si="73"/>
        <v/>
      </c>
      <c r="P594" t="str">
        <f t="shared" si="74"/>
        <v/>
      </c>
      <c r="Q594" s="33" t="str">
        <f t="shared" si="75"/>
        <v/>
      </c>
      <c r="R594" s="39" t="str">
        <f t="shared" si="76"/>
        <v/>
      </c>
    </row>
    <row r="595" spans="6:18" x14ac:dyDescent="0.25">
      <c r="F595" s="35">
        <v>589</v>
      </c>
      <c r="L595" s="33" t="str">
        <f t="shared" si="70"/>
        <v/>
      </c>
      <c r="M595" t="str">
        <f t="shared" si="71"/>
        <v/>
      </c>
      <c r="N595" s="33" t="str">
        <f t="shared" si="72"/>
        <v/>
      </c>
      <c r="O595" s="33" t="str">
        <f t="shared" si="73"/>
        <v/>
      </c>
      <c r="P595" t="str">
        <f t="shared" si="74"/>
        <v/>
      </c>
      <c r="Q595" s="33" t="str">
        <f t="shared" si="75"/>
        <v/>
      </c>
      <c r="R595" s="39" t="str">
        <f t="shared" si="76"/>
        <v/>
      </c>
    </row>
    <row r="596" spans="6:18" x14ac:dyDescent="0.25">
      <c r="F596" s="35">
        <v>590</v>
      </c>
      <c r="L596" s="33" t="str">
        <f t="shared" si="70"/>
        <v/>
      </c>
      <c r="M596" t="str">
        <f t="shared" si="71"/>
        <v/>
      </c>
      <c r="N596" s="33" t="str">
        <f t="shared" si="72"/>
        <v/>
      </c>
      <c r="O596" s="33" t="str">
        <f t="shared" si="73"/>
        <v/>
      </c>
      <c r="P596" t="str">
        <f t="shared" si="74"/>
        <v/>
      </c>
      <c r="Q596" s="33" t="str">
        <f t="shared" si="75"/>
        <v/>
      </c>
      <c r="R596" s="39" t="str">
        <f t="shared" si="76"/>
        <v/>
      </c>
    </row>
    <row r="597" spans="6:18" x14ac:dyDescent="0.25">
      <c r="F597" s="35">
        <v>591</v>
      </c>
      <c r="L597" s="33" t="str">
        <f t="shared" si="70"/>
        <v/>
      </c>
      <c r="M597" t="str">
        <f t="shared" si="71"/>
        <v/>
      </c>
      <c r="N597" s="33" t="str">
        <f t="shared" si="72"/>
        <v/>
      </c>
      <c r="O597" s="33" t="str">
        <f t="shared" si="73"/>
        <v/>
      </c>
      <c r="P597" t="str">
        <f t="shared" si="74"/>
        <v/>
      </c>
      <c r="Q597" s="33" t="str">
        <f t="shared" si="75"/>
        <v/>
      </c>
      <c r="R597" s="39" t="str">
        <f t="shared" si="76"/>
        <v/>
      </c>
    </row>
    <row r="598" spans="6:18" x14ac:dyDescent="0.25">
      <c r="F598" s="35">
        <v>592</v>
      </c>
      <c r="L598" s="33" t="str">
        <f t="shared" si="70"/>
        <v/>
      </c>
      <c r="M598" t="str">
        <f t="shared" si="71"/>
        <v/>
      </c>
      <c r="N598" s="33" t="str">
        <f t="shared" si="72"/>
        <v/>
      </c>
      <c r="O598" s="33" t="str">
        <f t="shared" si="73"/>
        <v/>
      </c>
      <c r="P598" t="str">
        <f t="shared" si="74"/>
        <v/>
      </c>
      <c r="Q598" s="33" t="str">
        <f t="shared" si="75"/>
        <v/>
      </c>
      <c r="R598" s="39" t="str">
        <f t="shared" si="76"/>
        <v/>
      </c>
    </row>
    <row r="599" spans="6:18" x14ac:dyDescent="0.25">
      <c r="F599" s="35">
        <v>593</v>
      </c>
      <c r="L599" s="33" t="str">
        <f t="shared" si="70"/>
        <v/>
      </c>
      <c r="M599" t="str">
        <f t="shared" si="71"/>
        <v/>
      </c>
      <c r="N599" s="33" t="str">
        <f t="shared" si="72"/>
        <v/>
      </c>
      <c r="O599" s="33" t="str">
        <f t="shared" si="73"/>
        <v/>
      </c>
      <c r="P599" t="str">
        <f t="shared" si="74"/>
        <v/>
      </c>
      <c r="Q599" s="33" t="str">
        <f t="shared" si="75"/>
        <v/>
      </c>
      <c r="R599" s="39" t="str">
        <f t="shared" si="76"/>
        <v/>
      </c>
    </row>
    <row r="600" spans="6:18" x14ac:dyDescent="0.25">
      <c r="F600" s="35">
        <v>594</v>
      </c>
      <c r="L600" s="33" t="str">
        <f t="shared" si="70"/>
        <v/>
      </c>
      <c r="M600" t="str">
        <f t="shared" si="71"/>
        <v/>
      </c>
      <c r="N600" s="33" t="str">
        <f t="shared" si="72"/>
        <v/>
      </c>
      <c r="O600" s="33" t="str">
        <f t="shared" si="73"/>
        <v/>
      </c>
      <c r="P600" t="str">
        <f t="shared" si="74"/>
        <v/>
      </c>
      <c r="Q600" s="33" t="str">
        <f t="shared" si="75"/>
        <v/>
      </c>
      <c r="R600" s="39" t="str">
        <f t="shared" si="76"/>
        <v/>
      </c>
    </row>
    <row r="601" spans="6:18" x14ac:dyDescent="0.25">
      <c r="F601" s="35">
        <v>595</v>
      </c>
      <c r="L601" s="33" t="str">
        <f t="shared" si="70"/>
        <v/>
      </c>
      <c r="M601" t="str">
        <f t="shared" si="71"/>
        <v/>
      </c>
      <c r="N601" s="33" t="str">
        <f t="shared" si="72"/>
        <v/>
      </c>
      <c r="O601" s="33" t="str">
        <f t="shared" si="73"/>
        <v/>
      </c>
      <c r="P601" t="str">
        <f t="shared" si="74"/>
        <v/>
      </c>
      <c r="Q601" s="33" t="str">
        <f t="shared" si="75"/>
        <v/>
      </c>
      <c r="R601" s="39" t="str">
        <f t="shared" si="76"/>
        <v/>
      </c>
    </row>
    <row r="602" spans="6:18" x14ac:dyDescent="0.25">
      <c r="F602" s="35">
        <v>596</v>
      </c>
      <c r="L602" s="33" t="str">
        <f t="shared" si="70"/>
        <v/>
      </c>
      <c r="M602" t="str">
        <f t="shared" si="71"/>
        <v/>
      </c>
      <c r="N602" s="33" t="str">
        <f t="shared" si="72"/>
        <v/>
      </c>
      <c r="O602" s="33" t="str">
        <f t="shared" si="73"/>
        <v/>
      </c>
      <c r="P602" t="str">
        <f t="shared" si="74"/>
        <v/>
      </c>
      <c r="Q602" s="33" t="str">
        <f t="shared" si="75"/>
        <v/>
      </c>
      <c r="R602" s="39" t="str">
        <f t="shared" si="76"/>
        <v/>
      </c>
    </row>
    <row r="603" spans="6:18" x14ac:dyDescent="0.25">
      <c r="F603" s="35">
        <v>597</v>
      </c>
      <c r="L603" s="33" t="str">
        <f t="shared" si="70"/>
        <v/>
      </c>
      <c r="M603" t="str">
        <f t="shared" si="71"/>
        <v/>
      </c>
      <c r="N603" s="33" t="str">
        <f t="shared" si="72"/>
        <v/>
      </c>
      <c r="O603" s="33" t="str">
        <f t="shared" si="73"/>
        <v/>
      </c>
      <c r="P603" t="str">
        <f t="shared" si="74"/>
        <v/>
      </c>
      <c r="Q603" s="33" t="str">
        <f t="shared" si="75"/>
        <v/>
      </c>
      <c r="R603" s="39" t="str">
        <f t="shared" si="76"/>
        <v/>
      </c>
    </row>
    <row r="604" spans="6:18" x14ac:dyDescent="0.25">
      <c r="F604" s="35">
        <v>598</v>
      </c>
      <c r="L604" s="33" t="str">
        <f t="shared" si="70"/>
        <v/>
      </c>
      <c r="M604" t="str">
        <f t="shared" si="71"/>
        <v/>
      </c>
      <c r="N604" s="33" t="str">
        <f t="shared" si="72"/>
        <v/>
      </c>
      <c r="O604" s="33" t="str">
        <f t="shared" si="73"/>
        <v/>
      </c>
      <c r="P604" t="str">
        <f t="shared" si="74"/>
        <v/>
      </c>
      <c r="Q604" s="33" t="str">
        <f t="shared" si="75"/>
        <v/>
      </c>
      <c r="R604" s="39" t="str">
        <f t="shared" si="76"/>
        <v/>
      </c>
    </row>
    <row r="605" spans="6:18" x14ac:dyDescent="0.25">
      <c r="F605" s="35">
        <v>599</v>
      </c>
      <c r="L605" s="33" t="str">
        <f t="shared" si="70"/>
        <v/>
      </c>
      <c r="M605" t="str">
        <f t="shared" si="71"/>
        <v/>
      </c>
      <c r="N605" s="33" t="str">
        <f t="shared" si="72"/>
        <v/>
      </c>
      <c r="O605" s="33" t="str">
        <f t="shared" si="73"/>
        <v/>
      </c>
      <c r="P605" t="str">
        <f t="shared" si="74"/>
        <v/>
      </c>
      <c r="Q605" s="33" t="str">
        <f t="shared" si="75"/>
        <v/>
      </c>
      <c r="R605" s="39" t="str">
        <f t="shared" si="76"/>
        <v/>
      </c>
    </row>
    <row r="606" spans="6:18" x14ac:dyDescent="0.25">
      <c r="F606" s="35">
        <v>600</v>
      </c>
      <c r="L606" s="33" t="str">
        <f t="shared" si="70"/>
        <v/>
      </c>
      <c r="M606" t="str">
        <f t="shared" si="71"/>
        <v/>
      </c>
      <c r="N606" s="33" t="str">
        <f t="shared" si="72"/>
        <v/>
      </c>
      <c r="O606" s="33" t="str">
        <f t="shared" si="73"/>
        <v/>
      </c>
      <c r="P606" t="str">
        <f t="shared" si="74"/>
        <v/>
      </c>
      <c r="Q606" s="33" t="str">
        <f t="shared" si="75"/>
        <v/>
      </c>
      <c r="R606" s="39" t="str">
        <f t="shared" si="76"/>
        <v/>
      </c>
    </row>
    <row r="607" spans="6:18" x14ac:dyDescent="0.25">
      <c r="F607" s="35">
        <v>601</v>
      </c>
      <c r="L607" s="33" t="str">
        <f t="shared" si="70"/>
        <v/>
      </c>
      <c r="M607" t="str">
        <f t="shared" si="71"/>
        <v/>
      </c>
      <c r="N607" s="33" t="str">
        <f t="shared" si="72"/>
        <v/>
      </c>
      <c r="O607" s="33" t="str">
        <f t="shared" si="73"/>
        <v/>
      </c>
      <c r="P607" t="str">
        <f t="shared" si="74"/>
        <v/>
      </c>
      <c r="Q607" s="33" t="str">
        <f t="shared" si="75"/>
        <v/>
      </c>
      <c r="R607" s="39" t="str">
        <f t="shared" si="76"/>
        <v/>
      </c>
    </row>
    <row r="608" spans="6:18" x14ac:dyDescent="0.25">
      <c r="F608" s="35">
        <v>602</v>
      </c>
      <c r="L608" s="33" t="str">
        <f t="shared" si="70"/>
        <v/>
      </c>
      <c r="M608" t="str">
        <f t="shared" si="71"/>
        <v/>
      </c>
      <c r="N608" s="33" t="str">
        <f t="shared" si="72"/>
        <v/>
      </c>
      <c r="O608" s="33" t="str">
        <f t="shared" si="73"/>
        <v/>
      </c>
      <c r="P608" t="str">
        <f t="shared" si="74"/>
        <v/>
      </c>
      <c r="Q608" s="33" t="str">
        <f t="shared" si="75"/>
        <v/>
      </c>
      <c r="R608" s="39" t="str">
        <f t="shared" si="76"/>
        <v/>
      </c>
    </row>
    <row r="609" spans="6:18" x14ac:dyDescent="0.25">
      <c r="F609" s="35">
        <v>603</v>
      </c>
      <c r="L609" s="33" t="str">
        <f t="shared" si="70"/>
        <v/>
      </c>
      <c r="M609" t="str">
        <f t="shared" si="71"/>
        <v/>
      </c>
      <c r="N609" s="33" t="str">
        <f t="shared" si="72"/>
        <v/>
      </c>
      <c r="O609" s="33" t="str">
        <f t="shared" si="73"/>
        <v/>
      </c>
      <c r="P609" t="str">
        <f t="shared" si="74"/>
        <v/>
      </c>
      <c r="Q609" s="33" t="str">
        <f t="shared" si="75"/>
        <v/>
      </c>
      <c r="R609" s="39" t="str">
        <f t="shared" si="76"/>
        <v/>
      </c>
    </row>
    <row r="610" spans="6:18" x14ac:dyDescent="0.25">
      <c r="F610" s="35">
        <v>604</v>
      </c>
      <c r="L610" s="33" t="str">
        <f t="shared" si="70"/>
        <v/>
      </c>
      <c r="M610" t="str">
        <f t="shared" si="71"/>
        <v/>
      </c>
      <c r="N610" s="33" t="str">
        <f t="shared" si="72"/>
        <v/>
      </c>
      <c r="O610" s="33" t="str">
        <f t="shared" si="73"/>
        <v/>
      </c>
      <c r="P610" t="str">
        <f t="shared" si="74"/>
        <v/>
      </c>
      <c r="Q610" s="33" t="str">
        <f t="shared" si="75"/>
        <v/>
      </c>
      <c r="R610" s="39" t="str">
        <f t="shared" si="76"/>
        <v/>
      </c>
    </row>
    <row r="611" spans="6:18" x14ac:dyDescent="0.25">
      <c r="F611" s="35">
        <v>605</v>
      </c>
      <c r="L611" s="33" t="str">
        <f t="shared" si="70"/>
        <v/>
      </c>
      <c r="M611" t="str">
        <f t="shared" si="71"/>
        <v/>
      </c>
      <c r="N611" s="33" t="str">
        <f t="shared" si="72"/>
        <v/>
      </c>
      <c r="O611" s="33" t="str">
        <f t="shared" si="73"/>
        <v/>
      </c>
      <c r="P611" t="str">
        <f t="shared" si="74"/>
        <v/>
      </c>
      <c r="Q611" s="33" t="str">
        <f t="shared" si="75"/>
        <v/>
      </c>
      <c r="R611" s="39" t="str">
        <f t="shared" si="76"/>
        <v/>
      </c>
    </row>
    <row r="612" spans="6:18" x14ac:dyDescent="0.25">
      <c r="F612" s="35">
        <v>606</v>
      </c>
      <c r="L612" s="33" t="str">
        <f t="shared" si="70"/>
        <v/>
      </c>
      <c r="M612" t="str">
        <f t="shared" si="71"/>
        <v/>
      </c>
      <c r="N612" s="33" t="str">
        <f t="shared" si="72"/>
        <v/>
      </c>
      <c r="O612" s="33" t="str">
        <f t="shared" si="73"/>
        <v/>
      </c>
      <c r="P612" t="str">
        <f t="shared" si="74"/>
        <v/>
      </c>
      <c r="Q612" s="33" t="str">
        <f t="shared" si="75"/>
        <v/>
      </c>
      <c r="R612" s="39" t="str">
        <f t="shared" si="76"/>
        <v/>
      </c>
    </row>
    <row r="613" spans="6:18" x14ac:dyDescent="0.25">
      <c r="F613" s="35">
        <v>607</v>
      </c>
      <c r="L613" s="33" t="str">
        <f t="shared" si="70"/>
        <v/>
      </c>
      <c r="M613" t="str">
        <f t="shared" si="71"/>
        <v/>
      </c>
      <c r="N613" s="33" t="str">
        <f t="shared" si="72"/>
        <v/>
      </c>
      <c r="O613" s="33" t="str">
        <f t="shared" si="73"/>
        <v/>
      </c>
      <c r="P613" t="str">
        <f t="shared" si="74"/>
        <v/>
      </c>
      <c r="Q613" s="33" t="str">
        <f t="shared" si="75"/>
        <v/>
      </c>
      <c r="R613" s="39" t="str">
        <f t="shared" si="76"/>
        <v/>
      </c>
    </row>
    <row r="614" spans="6:18" x14ac:dyDescent="0.25">
      <c r="F614" s="35">
        <v>608</v>
      </c>
      <c r="L614" s="33" t="str">
        <f t="shared" si="70"/>
        <v/>
      </c>
      <c r="M614" t="str">
        <f t="shared" si="71"/>
        <v/>
      </c>
      <c r="N614" s="33" t="str">
        <f t="shared" si="72"/>
        <v/>
      </c>
      <c r="O614" s="33" t="str">
        <f t="shared" si="73"/>
        <v/>
      </c>
      <c r="P614" t="str">
        <f t="shared" si="74"/>
        <v/>
      </c>
      <c r="Q614" s="33" t="str">
        <f t="shared" si="75"/>
        <v/>
      </c>
      <c r="R614" s="39" t="str">
        <f t="shared" si="76"/>
        <v/>
      </c>
    </row>
    <row r="615" spans="6:18" x14ac:dyDescent="0.25">
      <c r="F615" s="35">
        <v>609</v>
      </c>
      <c r="L615" s="33" t="str">
        <f t="shared" si="70"/>
        <v/>
      </c>
      <c r="M615" t="str">
        <f t="shared" si="71"/>
        <v/>
      </c>
      <c r="N615" s="33" t="str">
        <f t="shared" si="72"/>
        <v/>
      </c>
      <c r="O615" s="33" t="str">
        <f t="shared" si="73"/>
        <v/>
      </c>
      <c r="P615" t="str">
        <f t="shared" si="74"/>
        <v/>
      </c>
      <c r="Q615" s="33" t="str">
        <f t="shared" si="75"/>
        <v/>
      </c>
      <c r="R615" s="39" t="str">
        <f t="shared" si="76"/>
        <v/>
      </c>
    </row>
    <row r="616" spans="6:18" x14ac:dyDescent="0.25">
      <c r="F616" s="35">
        <v>610</v>
      </c>
      <c r="L616" s="33" t="str">
        <f t="shared" si="70"/>
        <v/>
      </c>
      <c r="M616" t="str">
        <f t="shared" si="71"/>
        <v/>
      </c>
      <c r="N616" s="33" t="str">
        <f t="shared" si="72"/>
        <v/>
      </c>
      <c r="O616" s="33" t="str">
        <f t="shared" si="73"/>
        <v/>
      </c>
      <c r="P616" t="str">
        <f t="shared" si="74"/>
        <v/>
      </c>
      <c r="Q616" s="33" t="str">
        <f t="shared" si="75"/>
        <v/>
      </c>
      <c r="R616" s="39" t="str">
        <f t="shared" si="76"/>
        <v/>
      </c>
    </row>
    <row r="617" spans="6:18" x14ac:dyDescent="0.25">
      <c r="F617" s="35">
        <v>611</v>
      </c>
      <c r="L617" s="33" t="str">
        <f t="shared" si="70"/>
        <v/>
      </c>
      <c r="M617" t="str">
        <f t="shared" si="71"/>
        <v/>
      </c>
      <c r="N617" s="33" t="str">
        <f t="shared" si="72"/>
        <v/>
      </c>
      <c r="O617" s="33" t="str">
        <f t="shared" si="73"/>
        <v/>
      </c>
      <c r="P617" t="str">
        <f t="shared" si="74"/>
        <v/>
      </c>
      <c r="Q617" s="33" t="str">
        <f t="shared" si="75"/>
        <v/>
      </c>
      <c r="R617" s="39" t="str">
        <f t="shared" si="76"/>
        <v/>
      </c>
    </row>
    <row r="618" spans="6:18" x14ac:dyDescent="0.25">
      <c r="F618" s="35">
        <v>612</v>
      </c>
      <c r="L618" s="33" t="str">
        <f t="shared" si="70"/>
        <v/>
      </c>
      <c r="M618" t="str">
        <f t="shared" si="71"/>
        <v/>
      </c>
      <c r="N618" s="33" t="str">
        <f t="shared" si="72"/>
        <v/>
      </c>
      <c r="O618" s="33" t="str">
        <f t="shared" si="73"/>
        <v/>
      </c>
      <c r="P618" t="str">
        <f t="shared" si="74"/>
        <v/>
      </c>
      <c r="Q618" s="33" t="str">
        <f t="shared" si="75"/>
        <v/>
      </c>
      <c r="R618" s="39" t="str">
        <f t="shared" si="76"/>
        <v/>
      </c>
    </row>
    <row r="619" spans="6:18" x14ac:dyDescent="0.25">
      <c r="F619" s="35">
        <v>613</v>
      </c>
      <c r="L619" s="33" t="str">
        <f t="shared" si="70"/>
        <v/>
      </c>
      <c r="M619" t="str">
        <f t="shared" si="71"/>
        <v/>
      </c>
      <c r="N619" s="33" t="str">
        <f t="shared" si="72"/>
        <v/>
      </c>
      <c r="O619" s="33" t="str">
        <f t="shared" si="73"/>
        <v/>
      </c>
      <c r="P619" t="str">
        <f t="shared" si="74"/>
        <v/>
      </c>
      <c r="Q619" s="33" t="str">
        <f t="shared" si="75"/>
        <v/>
      </c>
      <c r="R619" s="39" t="str">
        <f t="shared" si="76"/>
        <v/>
      </c>
    </row>
    <row r="620" spans="6:18" x14ac:dyDescent="0.25">
      <c r="F620" s="35">
        <v>614</v>
      </c>
      <c r="L620" s="33" t="str">
        <f t="shared" si="70"/>
        <v/>
      </c>
      <c r="M620" t="str">
        <f t="shared" si="71"/>
        <v/>
      </c>
      <c r="N620" s="33" t="str">
        <f t="shared" si="72"/>
        <v/>
      </c>
      <c r="O620" s="33" t="str">
        <f t="shared" si="73"/>
        <v/>
      </c>
      <c r="P620" t="str">
        <f t="shared" si="74"/>
        <v/>
      </c>
      <c r="Q620" s="33" t="str">
        <f t="shared" si="75"/>
        <v/>
      </c>
      <c r="R620" s="39" t="str">
        <f t="shared" si="76"/>
        <v/>
      </c>
    </row>
    <row r="621" spans="6:18" x14ac:dyDescent="0.25">
      <c r="F621" s="35">
        <v>615</v>
      </c>
      <c r="L621" s="33" t="str">
        <f t="shared" si="70"/>
        <v/>
      </c>
      <c r="M621" t="str">
        <f t="shared" si="71"/>
        <v/>
      </c>
      <c r="N621" s="33" t="str">
        <f t="shared" si="72"/>
        <v/>
      </c>
      <c r="O621" s="33" t="str">
        <f t="shared" si="73"/>
        <v/>
      </c>
      <c r="P621" t="str">
        <f t="shared" si="74"/>
        <v/>
      </c>
      <c r="Q621" s="33" t="str">
        <f t="shared" si="75"/>
        <v/>
      </c>
      <c r="R621" s="39" t="str">
        <f t="shared" si="76"/>
        <v/>
      </c>
    </row>
    <row r="622" spans="6:18" x14ac:dyDescent="0.25">
      <c r="F622" s="35">
        <v>616</v>
      </c>
      <c r="L622" s="33" t="str">
        <f t="shared" si="70"/>
        <v/>
      </c>
      <c r="M622" t="str">
        <f t="shared" si="71"/>
        <v/>
      </c>
      <c r="N622" s="33" t="str">
        <f t="shared" si="72"/>
        <v/>
      </c>
      <c r="O622" s="33" t="str">
        <f t="shared" si="73"/>
        <v/>
      </c>
      <c r="P622" t="str">
        <f t="shared" si="74"/>
        <v/>
      </c>
      <c r="Q622" s="33" t="str">
        <f t="shared" si="75"/>
        <v/>
      </c>
      <c r="R622" s="39" t="str">
        <f t="shared" si="76"/>
        <v/>
      </c>
    </row>
    <row r="623" spans="6:18" x14ac:dyDescent="0.25">
      <c r="F623" s="35">
        <v>617</v>
      </c>
      <c r="L623" s="33" t="str">
        <f t="shared" si="70"/>
        <v/>
      </c>
      <c r="M623" t="str">
        <f t="shared" si="71"/>
        <v/>
      </c>
      <c r="N623" s="33" t="str">
        <f t="shared" si="72"/>
        <v/>
      </c>
      <c r="O623" s="33" t="str">
        <f t="shared" si="73"/>
        <v/>
      </c>
      <c r="P623" t="str">
        <f t="shared" si="74"/>
        <v/>
      </c>
      <c r="Q623" s="33" t="str">
        <f t="shared" si="75"/>
        <v/>
      </c>
      <c r="R623" s="39" t="str">
        <f t="shared" si="76"/>
        <v/>
      </c>
    </row>
    <row r="624" spans="6:18" x14ac:dyDescent="0.25">
      <c r="F624" s="35">
        <v>618</v>
      </c>
      <c r="L624" s="33" t="str">
        <f t="shared" si="70"/>
        <v/>
      </c>
      <c r="M624" t="str">
        <f t="shared" si="71"/>
        <v/>
      </c>
      <c r="N624" s="33" t="str">
        <f t="shared" si="72"/>
        <v/>
      </c>
      <c r="O624" s="33" t="str">
        <f t="shared" si="73"/>
        <v/>
      </c>
      <c r="P624" t="str">
        <f t="shared" si="74"/>
        <v/>
      </c>
      <c r="Q624" s="33" t="str">
        <f t="shared" si="75"/>
        <v/>
      </c>
      <c r="R624" s="39" t="str">
        <f t="shared" si="76"/>
        <v/>
      </c>
    </row>
    <row r="625" spans="6:18" x14ac:dyDescent="0.25">
      <c r="F625" s="35">
        <v>619</v>
      </c>
      <c r="L625" s="33" t="str">
        <f t="shared" si="70"/>
        <v/>
      </c>
      <c r="M625" t="str">
        <f t="shared" si="71"/>
        <v/>
      </c>
      <c r="N625" s="33" t="str">
        <f t="shared" si="72"/>
        <v/>
      </c>
      <c r="O625" s="33" t="str">
        <f t="shared" si="73"/>
        <v/>
      </c>
      <c r="P625" t="str">
        <f t="shared" si="74"/>
        <v/>
      </c>
      <c r="Q625" s="33" t="str">
        <f t="shared" si="75"/>
        <v/>
      </c>
      <c r="R625" s="39" t="str">
        <f t="shared" si="76"/>
        <v/>
      </c>
    </row>
    <row r="626" spans="6:18" x14ac:dyDescent="0.25">
      <c r="F626" s="35">
        <v>620</v>
      </c>
      <c r="L626" s="33" t="str">
        <f t="shared" si="70"/>
        <v/>
      </c>
      <c r="M626" t="str">
        <f t="shared" si="71"/>
        <v/>
      </c>
      <c r="N626" s="33" t="str">
        <f t="shared" si="72"/>
        <v/>
      </c>
      <c r="O626" s="33" t="str">
        <f t="shared" si="73"/>
        <v/>
      </c>
      <c r="P626" t="str">
        <f t="shared" si="74"/>
        <v/>
      </c>
      <c r="Q626" s="33" t="str">
        <f t="shared" si="75"/>
        <v/>
      </c>
      <c r="R626" s="39" t="str">
        <f t="shared" si="76"/>
        <v/>
      </c>
    </row>
    <row r="627" spans="6:18" x14ac:dyDescent="0.25">
      <c r="F627" s="35">
        <v>621</v>
      </c>
      <c r="L627" s="33" t="str">
        <f t="shared" si="70"/>
        <v/>
      </c>
      <c r="M627" t="str">
        <f t="shared" si="71"/>
        <v/>
      </c>
      <c r="N627" s="33" t="str">
        <f t="shared" si="72"/>
        <v/>
      </c>
      <c r="O627" s="33" t="str">
        <f t="shared" si="73"/>
        <v/>
      </c>
      <c r="P627" t="str">
        <f t="shared" si="74"/>
        <v/>
      </c>
      <c r="Q627" s="33" t="str">
        <f t="shared" si="75"/>
        <v/>
      </c>
      <c r="R627" s="39" t="str">
        <f t="shared" si="76"/>
        <v/>
      </c>
    </row>
    <row r="628" spans="6:18" x14ac:dyDescent="0.25">
      <c r="F628" s="35">
        <v>622</v>
      </c>
      <c r="L628" s="33" t="str">
        <f t="shared" si="70"/>
        <v/>
      </c>
      <c r="M628" t="str">
        <f t="shared" si="71"/>
        <v/>
      </c>
      <c r="N628" s="33" t="str">
        <f t="shared" si="72"/>
        <v/>
      </c>
      <c r="O628" s="33" t="str">
        <f t="shared" si="73"/>
        <v/>
      </c>
      <c r="P628" t="str">
        <f t="shared" si="74"/>
        <v/>
      </c>
      <c r="Q628" s="33" t="str">
        <f t="shared" si="75"/>
        <v/>
      </c>
      <c r="R628" s="39" t="str">
        <f t="shared" si="76"/>
        <v/>
      </c>
    </row>
    <row r="629" spans="6:18" x14ac:dyDescent="0.25">
      <c r="F629" s="35">
        <v>623</v>
      </c>
      <c r="L629" s="33" t="str">
        <f t="shared" si="70"/>
        <v/>
      </c>
      <c r="M629" t="str">
        <f t="shared" si="71"/>
        <v/>
      </c>
      <c r="N629" s="33" t="str">
        <f t="shared" si="72"/>
        <v/>
      </c>
      <c r="O629" s="33" t="str">
        <f t="shared" si="73"/>
        <v/>
      </c>
      <c r="P629" t="str">
        <f t="shared" si="74"/>
        <v/>
      </c>
      <c r="Q629" s="33" t="str">
        <f t="shared" si="75"/>
        <v/>
      </c>
      <c r="R629" s="39" t="str">
        <f t="shared" si="76"/>
        <v/>
      </c>
    </row>
    <row r="630" spans="6:18" x14ac:dyDescent="0.25">
      <c r="F630" s="35">
        <v>624</v>
      </c>
      <c r="L630" s="33" t="str">
        <f t="shared" si="70"/>
        <v/>
      </c>
      <c r="M630" t="str">
        <f t="shared" si="71"/>
        <v/>
      </c>
      <c r="N630" s="33" t="str">
        <f t="shared" si="72"/>
        <v/>
      </c>
      <c r="O630" s="33" t="str">
        <f t="shared" si="73"/>
        <v/>
      </c>
      <c r="P630" t="str">
        <f t="shared" si="74"/>
        <v/>
      </c>
      <c r="Q630" s="33" t="str">
        <f t="shared" si="75"/>
        <v/>
      </c>
      <c r="R630" s="39" t="str">
        <f t="shared" si="76"/>
        <v/>
      </c>
    </row>
    <row r="631" spans="6:18" x14ac:dyDescent="0.25">
      <c r="F631" s="35">
        <v>625</v>
      </c>
      <c r="L631" s="33" t="str">
        <f t="shared" si="70"/>
        <v/>
      </c>
      <c r="M631" t="str">
        <f t="shared" si="71"/>
        <v/>
      </c>
      <c r="N631" s="33" t="str">
        <f t="shared" si="72"/>
        <v/>
      </c>
      <c r="O631" s="33" t="str">
        <f t="shared" si="73"/>
        <v/>
      </c>
      <c r="P631" t="str">
        <f t="shared" si="74"/>
        <v/>
      </c>
      <c r="Q631" s="33" t="str">
        <f t="shared" si="75"/>
        <v/>
      </c>
      <c r="R631" s="39" t="str">
        <f t="shared" si="76"/>
        <v/>
      </c>
    </row>
    <row r="632" spans="6:18" x14ac:dyDescent="0.25">
      <c r="F632" s="35">
        <v>626</v>
      </c>
      <c r="L632" s="33" t="str">
        <f t="shared" si="70"/>
        <v/>
      </c>
      <c r="M632" t="str">
        <f t="shared" si="71"/>
        <v/>
      </c>
      <c r="N632" s="33" t="str">
        <f t="shared" si="72"/>
        <v/>
      </c>
      <c r="O632" s="33" t="str">
        <f t="shared" si="73"/>
        <v/>
      </c>
      <c r="P632" t="str">
        <f t="shared" si="74"/>
        <v/>
      </c>
      <c r="Q632" s="33" t="str">
        <f t="shared" si="75"/>
        <v/>
      </c>
      <c r="R632" s="39" t="str">
        <f t="shared" si="76"/>
        <v/>
      </c>
    </row>
    <row r="633" spans="6:18" x14ac:dyDescent="0.25">
      <c r="F633" s="35">
        <v>627</v>
      </c>
      <c r="L633" s="33" t="str">
        <f t="shared" si="70"/>
        <v/>
      </c>
      <c r="M633" t="str">
        <f t="shared" si="71"/>
        <v/>
      </c>
      <c r="N633" s="33" t="str">
        <f t="shared" si="72"/>
        <v/>
      </c>
      <c r="O633" s="33" t="str">
        <f t="shared" si="73"/>
        <v/>
      </c>
      <c r="P633" t="str">
        <f t="shared" si="74"/>
        <v/>
      </c>
      <c r="Q633" s="33" t="str">
        <f t="shared" si="75"/>
        <v/>
      </c>
      <c r="R633" s="39" t="str">
        <f t="shared" si="76"/>
        <v/>
      </c>
    </row>
    <row r="634" spans="6:18" x14ac:dyDescent="0.25">
      <c r="F634" s="35">
        <v>628</v>
      </c>
      <c r="L634" s="33" t="str">
        <f t="shared" si="70"/>
        <v/>
      </c>
      <c r="M634" t="str">
        <f t="shared" si="71"/>
        <v/>
      </c>
      <c r="N634" s="33" t="str">
        <f t="shared" si="72"/>
        <v/>
      </c>
      <c r="O634" s="33" t="str">
        <f t="shared" si="73"/>
        <v/>
      </c>
      <c r="P634" t="str">
        <f t="shared" si="74"/>
        <v/>
      </c>
      <c r="Q634" s="33" t="str">
        <f t="shared" si="75"/>
        <v/>
      </c>
      <c r="R634" s="39" t="str">
        <f t="shared" si="76"/>
        <v/>
      </c>
    </row>
    <row r="635" spans="6:18" x14ac:dyDescent="0.25">
      <c r="F635" s="35">
        <v>629</v>
      </c>
      <c r="L635" s="33" t="str">
        <f t="shared" si="70"/>
        <v/>
      </c>
      <c r="M635" t="str">
        <f t="shared" si="71"/>
        <v/>
      </c>
      <c r="N635" s="33" t="str">
        <f t="shared" si="72"/>
        <v/>
      </c>
      <c r="O635" s="33" t="str">
        <f t="shared" si="73"/>
        <v/>
      </c>
      <c r="P635" t="str">
        <f t="shared" si="74"/>
        <v/>
      </c>
      <c r="Q635" s="33" t="str">
        <f t="shared" si="75"/>
        <v/>
      </c>
      <c r="R635" s="39" t="str">
        <f t="shared" si="76"/>
        <v/>
      </c>
    </row>
    <row r="636" spans="6:18" x14ac:dyDescent="0.25">
      <c r="F636" s="35">
        <v>630</v>
      </c>
      <c r="L636" s="33" t="str">
        <f t="shared" si="70"/>
        <v/>
      </c>
      <c r="M636" t="str">
        <f t="shared" si="71"/>
        <v/>
      </c>
      <c r="N636" s="33" t="str">
        <f t="shared" si="72"/>
        <v/>
      </c>
      <c r="O636" s="33" t="str">
        <f t="shared" si="73"/>
        <v/>
      </c>
      <c r="P636" t="str">
        <f t="shared" si="74"/>
        <v/>
      </c>
      <c r="Q636" s="33" t="str">
        <f t="shared" si="75"/>
        <v/>
      </c>
      <c r="R636" s="39" t="str">
        <f t="shared" si="76"/>
        <v/>
      </c>
    </row>
    <row r="637" spans="6:18" x14ac:dyDescent="0.25">
      <c r="F637" s="35">
        <v>631</v>
      </c>
      <c r="L637" s="33" t="str">
        <f t="shared" si="70"/>
        <v/>
      </c>
      <c r="M637" t="str">
        <f t="shared" si="71"/>
        <v/>
      </c>
      <c r="N637" s="33" t="str">
        <f t="shared" si="72"/>
        <v/>
      </c>
      <c r="O637" s="33" t="str">
        <f t="shared" si="73"/>
        <v/>
      </c>
      <c r="P637" t="str">
        <f t="shared" si="74"/>
        <v/>
      </c>
      <c r="Q637" s="33" t="str">
        <f t="shared" si="75"/>
        <v/>
      </c>
      <c r="R637" s="39" t="str">
        <f t="shared" si="76"/>
        <v/>
      </c>
    </row>
    <row r="638" spans="6:18" x14ac:dyDescent="0.25">
      <c r="F638" s="35">
        <v>632</v>
      </c>
      <c r="L638" s="33" t="str">
        <f t="shared" si="70"/>
        <v/>
      </c>
      <c r="M638" t="str">
        <f t="shared" si="71"/>
        <v/>
      </c>
      <c r="N638" s="33" t="str">
        <f t="shared" si="72"/>
        <v/>
      </c>
      <c r="O638" s="33" t="str">
        <f t="shared" si="73"/>
        <v/>
      </c>
      <c r="P638" t="str">
        <f t="shared" si="74"/>
        <v/>
      </c>
      <c r="Q638" s="33" t="str">
        <f t="shared" si="75"/>
        <v/>
      </c>
      <c r="R638" s="39" t="str">
        <f t="shared" si="76"/>
        <v/>
      </c>
    </row>
    <row r="639" spans="6:18" x14ac:dyDescent="0.25">
      <c r="F639" s="35">
        <v>633</v>
      </c>
      <c r="L639" s="33" t="str">
        <f t="shared" si="70"/>
        <v/>
      </c>
      <c r="M639" t="str">
        <f t="shared" si="71"/>
        <v/>
      </c>
      <c r="N639" s="33" t="str">
        <f t="shared" si="72"/>
        <v/>
      </c>
      <c r="O639" s="33" t="str">
        <f t="shared" si="73"/>
        <v/>
      </c>
      <c r="P639" t="str">
        <f t="shared" si="74"/>
        <v/>
      </c>
      <c r="Q639" s="33" t="str">
        <f t="shared" si="75"/>
        <v/>
      </c>
      <c r="R639" s="39" t="str">
        <f t="shared" si="76"/>
        <v/>
      </c>
    </row>
    <row r="640" spans="6:18" x14ac:dyDescent="0.25">
      <c r="F640" s="35">
        <v>634</v>
      </c>
      <c r="L640" s="33" t="str">
        <f t="shared" si="70"/>
        <v/>
      </c>
      <c r="M640" t="str">
        <f t="shared" si="71"/>
        <v/>
      </c>
      <c r="N640" s="33" t="str">
        <f t="shared" si="72"/>
        <v/>
      </c>
      <c r="O640" s="33" t="str">
        <f t="shared" si="73"/>
        <v/>
      </c>
      <c r="P640" t="str">
        <f t="shared" si="74"/>
        <v/>
      </c>
      <c r="Q640" s="33" t="str">
        <f t="shared" si="75"/>
        <v/>
      </c>
      <c r="R640" s="39" t="str">
        <f t="shared" si="76"/>
        <v/>
      </c>
    </row>
    <row r="641" spans="6:18" x14ac:dyDescent="0.25">
      <c r="F641" s="35">
        <v>635</v>
      </c>
      <c r="L641" s="33" t="str">
        <f t="shared" si="70"/>
        <v/>
      </c>
      <c r="M641" t="str">
        <f t="shared" si="71"/>
        <v/>
      </c>
      <c r="N641" s="33" t="str">
        <f t="shared" si="72"/>
        <v/>
      </c>
      <c r="O641" s="33" t="str">
        <f t="shared" si="73"/>
        <v/>
      </c>
      <c r="P641" t="str">
        <f t="shared" si="74"/>
        <v/>
      </c>
      <c r="Q641" s="33" t="str">
        <f t="shared" si="75"/>
        <v/>
      </c>
      <c r="R641" s="39" t="str">
        <f t="shared" si="76"/>
        <v/>
      </c>
    </row>
    <row r="642" spans="6:18" x14ac:dyDescent="0.25">
      <c r="F642" s="35">
        <v>636</v>
      </c>
      <c r="L642" s="33" t="str">
        <f t="shared" si="70"/>
        <v/>
      </c>
      <c r="M642" t="str">
        <f t="shared" si="71"/>
        <v/>
      </c>
      <c r="N642" s="33" t="str">
        <f t="shared" si="72"/>
        <v/>
      </c>
      <c r="O642" s="33" t="str">
        <f t="shared" si="73"/>
        <v/>
      </c>
      <c r="P642" t="str">
        <f t="shared" si="74"/>
        <v/>
      </c>
      <c r="Q642" s="33" t="str">
        <f t="shared" si="75"/>
        <v/>
      </c>
      <c r="R642" s="39" t="str">
        <f t="shared" si="76"/>
        <v/>
      </c>
    </row>
    <row r="643" spans="6:18" x14ac:dyDescent="0.25">
      <c r="F643" s="35">
        <v>637</v>
      </c>
      <c r="L643" s="33" t="str">
        <f t="shared" si="70"/>
        <v/>
      </c>
      <c r="M643" t="str">
        <f t="shared" si="71"/>
        <v/>
      </c>
      <c r="N643" s="33" t="str">
        <f t="shared" si="72"/>
        <v/>
      </c>
      <c r="O643" s="33" t="str">
        <f t="shared" si="73"/>
        <v/>
      </c>
      <c r="P643" t="str">
        <f t="shared" si="74"/>
        <v/>
      </c>
      <c r="Q643" s="33" t="str">
        <f t="shared" si="75"/>
        <v/>
      </c>
      <c r="R643" s="39" t="str">
        <f t="shared" si="76"/>
        <v/>
      </c>
    </row>
    <row r="644" spans="6:18" x14ac:dyDescent="0.25">
      <c r="F644" s="35">
        <v>638</v>
      </c>
      <c r="L644" s="33" t="str">
        <f t="shared" si="70"/>
        <v/>
      </c>
      <c r="M644" t="str">
        <f t="shared" si="71"/>
        <v/>
      </c>
      <c r="N644" s="33" t="str">
        <f t="shared" si="72"/>
        <v/>
      </c>
      <c r="O644" s="33" t="str">
        <f t="shared" si="73"/>
        <v/>
      </c>
      <c r="P644" t="str">
        <f t="shared" si="74"/>
        <v/>
      </c>
      <c r="Q644" s="33" t="str">
        <f t="shared" si="75"/>
        <v/>
      </c>
      <c r="R644" s="39" t="str">
        <f t="shared" si="76"/>
        <v/>
      </c>
    </row>
    <row r="645" spans="6:18" x14ac:dyDescent="0.25">
      <c r="F645" s="35">
        <v>639</v>
      </c>
      <c r="L645" s="33" t="str">
        <f t="shared" si="70"/>
        <v/>
      </c>
      <c r="M645" t="str">
        <f t="shared" si="71"/>
        <v/>
      </c>
      <c r="N645" s="33" t="str">
        <f t="shared" si="72"/>
        <v/>
      </c>
      <c r="O645" s="33" t="str">
        <f t="shared" si="73"/>
        <v/>
      </c>
      <c r="P645" t="str">
        <f t="shared" si="74"/>
        <v/>
      </c>
      <c r="Q645" s="33" t="str">
        <f t="shared" si="75"/>
        <v/>
      </c>
      <c r="R645" s="39" t="str">
        <f t="shared" si="76"/>
        <v/>
      </c>
    </row>
    <row r="646" spans="6:18" x14ac:dyDescent="0.25">
      <c r="F646" s="35">
        <v>640</v>
      </c>
      <c r="L646" s="33" t="str">
        <f t="shared" si="70"/>
        <v/>
      </c>
      <c r="M646" t="str">
        <f t="shared" si="71"/>
        <v/>
      </c>
      <c r="N646" s="33" t="str">
        <f t="shared" si="72"/>
        <v/>
      </c>
      <c r="O646" s="33" t="str">
        <f t="shared" si="73"/>
        <v/>
      </c>
      <c r="P646" t="str">
        <f t="shared" si="74"/>
        <v/>
      </c>
      <c r="Q646" s="33" t="str">
        <f t="shared" si="75"/>
        <v/>
      </c>
      <c r="R646" s="39" t="str">
        <f t="shared" si="76"/>
        <v/>
      </c>
    </row>
    <row r="647" spans="6:18" x14ac:dyDescent="0.25">
      <c r="F647" s="35">
        <v>641</v>
      </c>
      <c r="L647" s="33" t="str">
        <f t="shared" si="70"/>
        <v/>
      </c>
      <c r="M647" t="str">
        <f t="shared" si="71"/>
        <v/>
      </c>
      <c r="N647" s="33" t="str">
        <f t="shared" si="72"/>
        <v/>
      </c>
      <c r="O647" s="33" t="str">
        <f t="shared" si="73"/>
        <v/>
      </c>
      <c r="P647" t="str">
        <f t="shared" si="74"/>
        <v/>
      </c>
      <c r="Q647" s="33" t="str">
        <f t="shared" si="75"/>
        <v/>
      </c>
      <c r="R647" s="39" t="str">
        <f t="shared" si="76"/>
        <v/>
      </c>
    </row>
    <row r="648" spans="6:18" x14ac:dyDescent="0.25">
      <c r="F648" s="35">
        <v>642</v>
      </c>
      <c r="L648" s="33" t="str">
        <f t="shared" ref="L648:L711" si="77">IF(G648="","",$C$4*$C$6*$C$7/360)</f>
        <v/>
      </c>
      <c r="M648" t="str">
        <f t="shared" ref="M648:M711" si="78">IF(G648="","",IF(H648=$G$2,100,0))</f>
        <v/>
      </c>
      <c r="N648" s="33" t="str">
        <f t="shared" ref="N648:N711" si="79">IF(G648="","",L648+M648)</f>
        <v/>
      </c>
      <c r="O648" s="33" t="str">
        <f t="shared" ref="O648:O711" si="80">IF(G648="","",1/(1+$C$5*K648/360)^(J648/K648))</f>
        <v/>
      </c>
      <c r="P648" t="str">
        <f t="shared" ref="P648:P711" si="81">IF(G648="","",H648-$C$12)</f>
        <v/>
      </c>
      <c r="Q648" s="33" t="str">
        <f t="shared" ref="Q648:Q711" si="82">IF(G648="","",(P648/K648))</f>
        <v/>
      </c>
      <c r="R648" s="39" t="str">
        <f t="shared" ref="R648:R711" si="83">IF(G648="","",N648*O648)</f>
        <v/>
      </c>
    </row>
    <row r="649" spans="6:18" x14ac:dyDescent="0.25">
      <c r="F649" s="35">
        <v>643</v>
      </c>
      <c r="L649" s="33" t="str">
        <f t="shared" si="77"/>
        <v/>
      </c>
      <c r="M649" t="str">
        <f t="shared" si="78"/>
        <v/>
      </c>
      <c r="N649" s="33" t="str">
        <f t="shared" si="79"/>
        <v/>
      </c>
      <c r="O649" s="33" t="str">
        <f t="shared" si="80"/>
        <v/>
      </c>
      <c r="P649" t="str">
        <f t="shared" si="81"/>
        <v/>
      </c>
      <c r="Q649" s="33" t="str">
        <f t="shared" si="82"/>
        <v/>
      </c>
      <c r="R649" s="39" t="str">
        <f t="shared" si="83"/>
        <v/>
      </c>
    </row>
    <row r="650" spans="6:18" x14ac:dyDescent="0.25">
      <c r="F650" s="35">
        <v>644</v>
      </c>
      <c r="L650" s="33" t="str">
        <f t="shared" si="77"/>
        <v/>
      </c>
      <c r="M650" t="str">
        <f t="shared" si="78"/>
        <v/>
      </c>
      <c r="N650" s="33" t="str">
        <f t="shared" si="79"/>
        <v/>
      </c>
      <c r="O650" s="33" t="str">
        <f t="shared" si="80"/>
        <v/>
      </c>
      <c r="P650" t="str">
        <f t="shared" si="81"/>
        <v/>
      </c>
      <c r="Q650" s="33" t="str">
        <f t="shared" si="82"/>
        <v/>
      </c>
      <c r="R650" s="39" t="str">
        <f t="shared" si="83"/>
        <v/>
      </c>
    </row>
    <row r="651" spans="6:18" x14ac:dyDescent="0.25">
      <c r="F651" s="35">
        <v>645</v>
      </c>
      <c r="L651" s="33" t="str">
        <f t="shared" si="77"/>
        <v/>
      </c>
      <c r="M651" t="str">
        <f t="shared" si="78"/>
        <v/>
      </c>
      <c r="N651" s="33" t="str">
        <f t="shared" si="79"/>
        <v/>
      </c>
      <c r="O651" s="33" t="str">
        <f t="shared" si="80"/>
        <v/>
      </c>
      <c r="P651" t="str">
        <f t="shared" si="81"/>
        <v/>
      </c>
      <c r="Q651" s="33" t="str">
        <f t="shared" si="82"/>
        <v/>
      </c>
      <c r="R651" s="39" t="str">
        <f t="shared" si="83"/>
        <v/>
      </c>
    </row>
    <row r="652" spans="6:18" x14ac:dyDescent="0.25">
      <c r="F652" s="35">
        <v>646</v>
      </c>
      <c r="L652" s="33" t="str">
        <f t="shared" si="77"/>
        <v/>
      </c>
      <c r="M652" t="str">
        <f t="shared" si="78"/>
        <v/>
      </c>
      <c r="N652" s="33" t="str">
        <f t="shared" si="79"/>
        <v/>
      </c>
      <c r="O652" s="33" t="str">
        <f t="shared" si="80"/>
        <v/>
      </c>
      <c r="P652" t="str">
        <f t="shared" si="81"/>
        <v/>
      </c>
      <c r="Q652" s="33" t="str">
        <f t="shared" si="82"/>
        <v/>
      </c>
      <c r="R652" s="39" t="str">
        <f t="shared" si="83"/>
        <v/>
      </c>
    </row>
    <row r="653" spans="6:18" x14ac:dyDescent="0.25">
      <c r="F653" s="35">
        <v>647</v>
      </c>
      <c r="L653" s="33" t="str">
        <f t="shared" si="77"/>
        <v/>
      </c>
      <c r="M653" t="str">
        <f t="shared" si="78"/>
        <v/>
      </c>
      <c r="N653" s="33" t="str">
        <f t="shared" si="79"/>
        <v/>
      </c>
      <c r="O653" s="33" t="str">
        <f t="shared" si="80"/>
        <v/>
      </c>
      <c r="P653" t="str">
        <f t="shared" si="81"/>
        <v/>
      </c>
      <c r="Q653" s="33" t="str">
        <f t="shared" si="82"/>
        <v/>
      </c>
      <c r="R653" s="39" t="str">
        <f t="shared" si="83"/>
        <v/>
      </c>
    </row>
    <row r="654" spans="6:18" x14ac:dyDescent="0.25">
      <c r="F654" s="35">
        <v>648</v>
      </c>
      <c r="L654" s="33" t="str">
        <f t="shared" si="77"/>
        <v/>
      </c>
      <c r="M654" t="str">
        <f t="shared" si="78"/>
        <v/>
      </c>
      <c r="N654" s="33" t="str">
        <f t="shared" si="79"/>
        <v/>
      </c>
      <c r="O654" s="33" t="str">
        <f t="shared" si="80"/>
        <v/>
      </c>
      <c r="P654" t="str">
        <f t="shared" si="81"/>
        <v/>
      </c>
      <c r="Q654" s="33" t="str">
        <f t="shared" si="82"/>
        <v/>
      </c>
      <c r="R654" s="39" t="str">
        <f t="shared" si="83"/>
        <v/>
      </c>
    </row>
    <row r="655" spans="6:18" x14ac:dyDescent="0.25">
      <c r="F655" s="35">
        <v>649</v>
      </c>
      <c r="L655" s="33" t="str">
        <f t="shared" si="77"/>
        <v/>
      </c>
      <c r="M655" t="str">
        <f t="shared" si="78"/>
        <v/>
      </c>
      <c r="N655" s="33" t="str">
        <f t="shared" si="79"/>
        <v/>
      </c>
      <c r="O655" s="33" t="str">
        <f t="shared" si="80"/>
        <v/>
      </c>
      <c r="P655" t="str">
        <f t="shared" si="81"/>
        <v/>
      </c>
      <c r="Q655" s="33" t="str">
        <f t="shared" si="82"/>
        <v/>
      </c>
      <c r="R655" s="39" t="str">
        <f t="shared" si="83"/>
        <v/>
      </c>
    </row>
    <row r="656" spans="6:18" x14ac:dyDescent="0.25">
      <c r="F656" s="35">
        <v>650</v>
      </c>
      <c r="L656" s="33" t="str">
        <f t="shared" si="77"/>
        <v/>
      </c>
      <c r="M656" t="str">
        <f t="shared" si="78"/>
        <v/>
      </c>
      <c r="N656" s="33" t="str">
        <f t="shared" si="79"/>
        <v/>
      </c>
      <c r="O656" s="33" t="str">
        <f t="shared" si="80"/>
        <v/>
      </c>
      <c r="P656" t="str">
        <f t="shared" si="81"/>
        <v/>
      </c>
      <c r="Q656" s="33" t="str">
        <f t="shared" si="82"/>
        <v/>
      </c>
      <c r="R656" s="39" t="str">
        <f t="shared" si="83"/>
        <v/>
      </c>
    </row>
    <row r="657" spans="6:18" x14ac:dyDescent="0.25">
      <c r="F657" s="35">
        <v>651</v>
      </c>
      <c r="L657" s="33" t="str">
        <f t="shared" si="77"/>
        <v/>
      </c>
      <c r="M657" t="str">
        <f t="shared" si="78"/>
        <v/>
      </c>
      <c r="N657" s="33" t="str">
        <f t="shared" si="79"/>
        <v/>
      </c>
      <c r="O657" s="33" t="str">
        <f t="shared" si="80"/>
        <v/>
      </c>
      <c r="P657" t="str">
        <f t="shared" si="81"/>
        <v/>
      </c>
      <c r="Q657" s="33" t="str">
        <f t="shared" si="82"/>
        <v/>
      </c>
      <c r="R657" s="39" t="str">
        <f t="shared" si="83"/>
        <v/>
      </c>
    </row>
    <row r="658" spans="6:18" x14ac:dyDescent="0.25">
      <c r="F658" s="35">
        <v>652</v>
      </c>
      <c r="L658" s="33" t="str">
        <f t="shared" si="77"/>
        <v/>
      </c>
      <c r="M658" t="str">
        <f t="shared" si="78"/>
        <v/>
      </c>
      <c r="N658" s="33" t="str">
        <f t="shared" si="79"/>
        <v/>
      </c>
      <c r="O658" s="33" t="str">
        <f t="shared" si="80"/>
        <v/>
      </c>
      <c r="P658" t="str">
        <f t="shared" si="81"/>
        <v/>
      </c>
      <c r="Q658" s="33" t="str">
        <f t="shared" si="82"/>
        <v/>
      </c>
      <c r="R658" s="39" t="str">
        <f t="shared" si="83"/>
        <v/>
      </c>
    </row>
    <row r="659" spans="6:18" x14ac:dyDescent="0.25">
      <c r="F659" s="35">
        <v>653</v>
      </c>
      <c r="L659" s="33" t="str">
        <f t="shared" si="77"/>
        <v/>
      </c>
      <c r="M659" t="str">
        <f t="shared" si="78"/>
        <v/>
      </c>
      <c r="N659" s="33" t="str">
        <f t="shared" si="79"/>
        <v/>
      </c>
      <c r="O659" s="33" t="str">
        <f t="shared" si="80"/>
        <v/>
      </c>
      <c r="P659" t="str">
        <f t="shared" si="81"/>
        <v/>
      </c>
      <c r="Q659" s="33" t="str">
        <f t="shared" si="82"/>
        <v/>
      </c>
      <c r="R659" s="39" t="str">
        <f t="shared" si="83"/>
        <v/>
      </c>
    </row>
    <row r="660" spans="6:18" x14ac:dyDescent="0.25">
      <c r="F660" s="35">
        <v>654</v>
      </c>
      <c r="L660" s="33" t="str">
        <f t="shared" si="77"/>
        <v/>
      </c>
      <c r="M660" t="str">
        <f t="shared" si="78"/>
        <v/>
      </c>
      <c r="N660" s="33" t="str">
        <f t="shared" si="79"/>
        <v/>
      </c>
      <c r="O660" s="33" t="str">
        <f t="shared" si="80"/>
        <v/>
      </c>
      <c r="P660" t="str">
        <f t="shared" si="81"/>
        <v/>
      </c>
      <c r="Q660" s="33" t="str">
        <f t="shared" si="82"/>
        <v/>
      </c>
      <c r="R660" s="39" t="str">
        <f t="shared" si="83"/>
        <v/>
      </c>
    </row>
    <row r="661" spans="6:18" x14ac:dyDescent="0.25">
      <c r="F661" s="35">
        <v>655</v>
      </c>
      <c r="L661" s="33" t="str">
        <f t="shared" si="77"/>
        <v/>
      </c>
      <c r="M661" t="str">
        <f t="shared" si="78"/>
        <v/>
      </c>
      <c r="N661" s="33" t="str">
        <f t="shared" si="79"/>
        <v/>
      </c>
      <c r="O661" s="33" t="str">
        <f t="shared" si="80"/>
        <v/>
      </c>
      <c r="P661" t="str">
        <f t="shared" si="81"/>
        <v/>
      </c>
      <c r="Q661" s="33" t="str">
        <f t="shared" si="82"/>
        <v/>
      </c>
      <c r="R661" s="39" t="str">
        <f t="shared" si="83"/>
        <v/>
      </c>
    </row>
    <row r="662" spans="6:18" x14ac:dyDescent="0.25">
      <c r="F662" s="35">
        <v>656</v>
      </c>
      <c r="L662" s="33" t="str">
        <f t="shared" si="77"/>
        <v/>
      </c>
      <c r="M662" t="str">
        <f t="shared" si="78"/>
        <v/>
      </c>
      <c r="N662" s="33" t="str">
        <f t="shared" si="79"/>
        <v/>
      </c>
      <c r="O662" s="33" t="str">
        <f t="shared" si="80"/>
        <v/>
      </c>
      <c r="P662" t="str">
        <f t="shared" si="81"/>
        <v/>
      </c>
      <c r="Q662" s="33" t="str">
        <f t="shared" si="82"/>
        <v/>
      </c>
      <c r="R662" s="39" t="str">
        <f t="shared" si="83"/>
        <v/>
      </c>
    </row>
    <row r="663" spans="6:18" x14ac:dyDescent="0.25">
      <c r="F663" s="35">
        <v>657</v>
      </c>
      <c r="L663" s="33" t="str">
        <f t="shared" si="77"/>
        <v/>
      </c>
      <c r="M663" t="str">
        <f t="shared" si="78"/>
        <v/>
      </c>
      <c r="N663" s="33" t="str">
        <f t="shared" si="79"/>
        <v/>
      </c>
      <c r="O663" s="33" t="str">
        <f t="shared" si="80"/>
        <v/>
      </c>
      <c r="P663" t="str">
        <f t="shared" si="81"/>
        <v/>
      </c>
      <c r="Q663" s="33" t="str">
        <f t="shared" si="82"/>
        <v/>
      </c>
      <c r="R663" s="39" t="str">
        <f t="shared" si="83"/>
        <v/>
      </c>
    </row>
    <row r="664" spans="6:18" x14ac:dyDescent="0.25">
      <c r="F664" s="35">
        <v>658</v>
      </c>
      <c r="L664" s="33" t="str">
        <f t="shared" si="77"/>
        <v/>
      </c>
      <c r="M664" t="str">
        <f t="shared" si="78"/>
        <v/>
      </c>
      <c r="N664" s="33" t="str">
        <f t="shared" si="79"/>
        <v/>
      </c>
      <c r="O664" s="33" t="str">
        <f t="shared" si="80"/>
        <v/>
      </c>
      <c r="P664" t="str">
        <f t="shared" si="81"/>
        <v/>
      </c>
      <c r="Q664" s="33" t="str">
        <f t="shared" si="82"/>
        <v/>
      </c>
      <c r="R664" s="39" t="str">
        <f t="shared" si="83"/>
        <v/>
      </c>
    </row>
    <row r="665" spans="6:18" x14ac:dyDescent="0.25">
      <c r="F665" s="35">
        <v>659</v>
      </c>
      <c r="L665" s="33" t="str">
        <f t="shared" si="77"/>
        <v/>
      </c>
      <c r="M665" t="str">
        <f t="shared" si="78"/>
        <v/>
      </c>
      <c r="N665" s="33" t="str">
        <f t="shared" si="79"/>
        <v/>
      </c>
      <c r="O665" s="33" t="str">
        <f t="shared" si="80"/>
        <v/>
      </c>
      <c r="P665" t="str">
        <f t="shared" si="81"/>
        <v/>
      </c>
      <c r="Q665" s="33" t="str">
        <f t="shared" si="82"/>
        <v/>
      </c>
      <c r="R665" s="39" t="str">
        <f t="shared" si="83"/>
        <v/>
      </c>
    </row>
    <row r="666" spans="6:18" x14ac:dyDescent="0.25">
      <c r="F666" s="35">
        <v>660</v>
      </c>
      <c r="L666" s="33" t="str">
        <f t="shared" si="77"/>
        <v/>
      </c>
      <c r="M666" t="str">
        <f t="shared" si="78"/>
        <v/>
      </c>
      <c r="N666" s="33" t="str">
        <f t="shared" si="79"/>
        <v/>
      </c>
      <c r="O666" s="33" t="str">
        <f t="shared" si="80"/>
        <v/>
      </c>
      <c r="P666" t="str">
        <f t="shared" si="81"/>
        <v/>
      </c>
      <c r="Q666" s="33" t="str">
        <f t="shared" si="82"/>
        <v/>
      </c>
      <c r="R666" s="39" t="str">
        <f t="shared" si="83"/>
        <v/>
      </c>
    </row>
    <row r="667" spans="6:18" x14ac:dyDescent="0.25">
      <c r="F667" s="35">
        <v>661</v>
      </c>
      <c r="L667" s="33" t="str">
        <f t="shared" si="77"/>
        <v/>
      </c>
      <c r="M667" t="str">
        <f t="shared" si="78"/>
        <v/>
      </c>
      <c r="N667" s="33" t="str">
        <f t="shared" si="79"/>
        <v/>
      </c>
      <c r="O667" s="33" t="str">
        <f t="shared" si="80"/>
        <v/>
      </c>
      <c r="P667" t="str">
        <f t="shared" si="81"/>
        <v/>
      </c>
      <c r="Q667" s="33" t="str">
        <f t="shared" si="82"/>
        <v/>
      </c>
      <c r="R667" s="39" t="str">
        <f t="shared" si="83"/>
        <v/>
      </c>
    </row>
    <row r="668" spans="6:18" x14ac:dyDescent="0.25">
      <c r="F668" s="35">
        <v>662</v>
      </c>
      <c r="L668" s="33" t="str">
        <f t="shared" si="77"/>
        <v/>
      </c>
      <c r="M668" t="str">
        <f t="shared" si="78"/>
        <v/>
      </c>
      <c r="N668" s="33" t="str">
        <f t="shared" si="79"/>
        <v/>
      </c>
      <c r="O668" s="33" t="str">
        <f t="shared" si="80"/>
        <v/>
      </c>
      <c r="P668" t="str">
        <f t="shared" si="81"/>
        <v/>
      </c>
      <c r="Q668" s="33" t="str">
        <f t="shared" si="82"/>
        <v/>
      </c>
      <c r="R668" s="39" t="str">
        <f t="shared" si="83"/>
        <v/>
      </c>
    </row>
    <row r="669" spans="6:18" x14ac:dyDescent="0.25">
      <c r="F669" s="35">
        <v>663</v>
      </c>
      <c r="L669" s="33" t="str">
        <f t="shared" si="77"/>
        <v/>
      </c>
      <c r="M669" t="str">
        <f t="shared" si="78"/>
        <v/>
      </c>
      <c r="N669" s="33" t="str">
        <f t="shared" si="79"/>
        <v/>
      </c>
      <c r="O669" s="33" t="str">
        <f t="shared" si="80"/>
        <v/>
      </c>
      <c r="P669" t="str">
        <f t="shared" si="81"/>
        <v/>
      </c>
      <c r="Q669" s="33" t="str">
        <f t="shared" si="82"/>
        <v/>
      </c>
      <c r="R669" s="39" t="str">
        <f t="shared" si="83"/>
        <v/>
      </c>
    </row>
    <row r="670" spans="6:18" x14ac:dyDescent="0.25">
      <c r="F670" s="35">
        <v>664</v>
      </c>
      <c r="L670" s="33" t="str">
        <f t="shared" si="77"/>
        <v/>
      </c>
      <c r="M670" t="str">
        <f t="shared" si="78"/>
        <v/>
      </c>
      <c r="N670" s="33" t="str">
        <f t="shared" si="79"/>
        <v/>
      </c>
      <c r="O670" s="33" t="str">
        <f t="shared" si="80"/>
        <v/>
      </c>
      <c r="P670" t="str">
        <f t="shared" si="81"/>
        <v/>
      </c>
      <c r="Q670" s="33" t="str">
        <f t="shared" si="82"/>
        <v/>
      </c>
      <c r="R670" s="39" t="str">
        <f t="shared" si="83"/>
        <v/>
      </c>
    </row>
    <row r="671" spans="6:18" x14ac:dyDescent="0.25">
      <c r="F671" s="35">
        <v>665</v>
      </c>
      <c r="L671" s="33" t="str">
        <f t="shared" si="77"/>
        <v/>
      </c>
      <c r="M671" t="str">
        <f t="shared" si="78"/>
        <v/>
      </c>
      <c r="N671" s="33" t="str">
        <f t="shared" si="79"/>
        <v/>
      </c>
      <c r="O671" s="33" t="str">
        <f t="shared" si="80"/>
        <v/>
      </c>
      <c r="P671" t="str">
        <f t="shared" si="81"/>
        <v/>
      </c>
      <c r="Q671" s="33" t="str">
        <f t="shared" si="82"/>
        <v/>
      </c>
      <c r="R671" s="39" t="str">
        <f t="shared" si="83"/>
        <v/>
      </c>
    </row>
    <row r="672" spans="6:18" x14ac:dyDescent="0.25">
      <c r="F672" s="35">
        <v>666</v>
      </c>
      <c r="L672" s="33" t="str">
        <f t="shared" si="77"/>
        <v/>
      </c>
      <c r="M672" t="str">
        <f t="shared" si="78"/>
        <v/>
      </c>
      <c r="N672" s="33" t="str">
        <f t="shared" si="79"/>
        <v/>
      </c>
      <c r="O672" s="33" t="str">
        <f t="shared" si="80"/>
        <v/>
      </c>
      <c r="P672" t="str">
        <f t="shared" si="81"/>
        <v/>
      </c>
      <c r="Q672" s="33" t="str">
        <f t="shared" si="82"/>
        <v/>
      </c>
      <c r="R672" s="39" t="str">
        <f t="shared" si="83"/>
        <v/>
      </c>
    </row>
    <row r="673" spans="6:18" x14ac:dyDescent="0.25">
      <c r="F673" s="35">
        <v>667</v>
      </c>
      <c r="L673" s="33" t="str">
        <f t="shared" si="77"/>
        <v/>
      </c>
      <c r="M673" t="str">
        <f t="shared" si="78"/>
        <v/>
      </c>
      <c r="N673" s="33" t="str">
        <f t="shared" si="79"/>
        <v/>
      </c>
      <c r="O673" s="33" t="str">
        <f t="shared" si="80"/>
        <v/>
      </c>
      <c r="P673" t="str">
        <f t="shared" si="81"/>
        <v/>
      </c>
      <c r="Q673" s="33" t="str">
        <f t="shared" si="82"/>
        <v/>
      </c>
      <c r="R673" s="39" t="str">
        <f t="shared" si="83"/>
        <v/>
      </c>
    </row>
    <row r="674" spans="6:18" x14ac:dyDescent="0.25">
      <c r="F674" s="35">
        <v>668</v>
      </c>
      <c r="L674" s="33" t="str">
        <f t="shared" si="77"/>
        <v/>
      </c>
      <c r="M674" t="str">
        <f t="shared" si="78"/>
        <v/>
      </c>
      <c r="N674" s="33" t="str">
        <f t="shared" si="79"/>
        <v/>
      </c>
      <c r="O674" s="33" t="str">
        <f t="shared" si="80"/>
        <v/>
      </c>
      <c r="P674" t="str">
        <f t="shared" si="81"/>
        <v/>
      </c>
      <c r="Q674" s="33" t="str">
        <f t="shared" si="82"/>
        <v/>
      </c>
      <c r="R674" s="39" t="str">
        <f t="shared" si="83"/>
        <v/>
      </c>
    </row>
    <row r="675" spans="6:18" x14ac:dyDescent="0.25">
      <c r="F675" s="35">
        <v>669</v>
      </c>
      <c r="L675" s="33" t="str">
        <f t="shared" si="77"/>
        <v/>
      </c>
      <c r="M675" t="str">
        <f t="shared" si="78"/>
        <v/>
      </c>
      <c r="N675" s="33" t="str">
        <f t="shared" si="79"/>
        <v/>
      </c>
      <c r="O675" s="33" t="str">
        <f t="shared" si="80"/>
        <v/>
      </c>
      <c r="P675" t="str">
        <f t="shared" si="81"/>
        <v/>
      </c>
      <c r="Q675" s="33" t="str">
        <f t="shared" si="82"/>
        <v/>
      </c>
      <c r="R675" s="39" t="str">
        <f t="shared" si="83"/>
        <v/>
      </c>
    </row>
    <row r="676" spans="6:18" x14ac:dyDescent="0.25">
      <c r="F676" s="35">
        <v>670</v>
      </c>
      <c r="L676" s="33" t="str">
        <f t="shared" si="77"/>
        <v/>
      </c>
      <c r="M676" t="str">
        <f t="shared" si="78"/>
        <v/>
      </c>
      <c r="N676" s="33" t="str">
        <f t="shared" si="79"/>
        <v/>
      </c>
      <c r="O676" s="33" t="str">
        <f t="shared" si="80"/>
        <v/>
      </c>
      <c r="P676" t="str">
        <f t="shared" si="81"/>
        <v/>
      </c>
      <c r="Q676" s="33" t="str">
        <f t="shared" si="82"/>
        <v/>
      </c>
      <c r="R676" s="39" t="str">
        <f t="shared" si="83"/>
        <v/>
      </c>
    </row>
    <row r="677" spans="6:18" x14ac:dyDescent="0.25">
      <c r="F677" s="35">
        <v>671</v>
      </c>
      <c r="L677" s="33" t="str">
        <f t="shared" si="77"/>
        <v/>
      </c>
      <c r="M677" t="str">
        <f t="shared" si="78"/>
        <v/>
      </c>
      <c r="N677" s="33" t="str">
        <f t="shared" si="79"/>
        <v/>
      </c>
      <c r="O677" s="33" t="str">
        <f t="shared" si="80"/>
        <v/>
      </c>
      <c r="P677" t="str">
        <f t="shared" si="81"/>
        <v/>
      </c>
      <c r="Q677" s="33" t="str">
        <f t="shared" si="82"/>
        <v/>
      </c>
      <c r="R677" s="39" t="str">
        <f t="shared" si="83"/>
        <v/>
      </c>
    </row>
    <row r="678" spans="6:18" x14ac:dyDescent="0.25">
      <c r="F678" s="35">
        <v>672</v>
      </c>
      <c r="L678" s="33" t="str">
        <f t="shared" si="77"/>
        <v/>
      </c>
      <c r="M678" t="str">
        <f t="shared" si="78"/>
        <v/>
      </c>
      <c r="N678" s="33" t="str">
        <f t="shared" si="79"/>
        <v/>
      </c>
      <c r="O678" s="33" t="str">
        <f t="shared" si="80"/>
        <v/>
      </c>
      <c r="P678" t="str">
        <f t="shared" si="81"/>
        <v/>
      </c>
      <c r="Q678" s="33" t="str">
        <f t="shared" si="82"/>
        <v/>
      </c>
      <c r="R678" s="39" t="str">
        <f t="shared" si="83"/>
        <v/>
      </c>
    </row>
    <row r="679" spans="6:18" x14ac:dyDescent="0.25">
      <c r="F679" s="35">
        <v>673</v>
      </c>
      <c r="L679" s="33" t="str">
        <f t="shared" si="77"/>
        <v/>
      </c>
      <c r="M679" t="str">
        <f t="shared" si="78"/>
        <v/>
      </c>
      <c r="N679" s="33" t="str">
        <f t="shared" si="79"/>
        <v/>
      </c>
      <c r="O679" s="33" t="str">
        <f t="shared" si="80"/>
        <v/>
      </c>
      <c r="P679" t="str">
        <f t="shared" si="81"/>
        <v/>
      </c>
      <c r="Q679" s="33" t="str">
        <f t="shared" si="82"/>
        <v/>
      </c>
      <c r="R679" s="39" t="str">
        <f t="shared" si="83"/>
        <v/>
      </c>
    </row>
    <row r="680" spans="6:18" x14ac:dyDescent="0.25">
      <c r="F680" s="35">
        <v>674</v>
      </c>
      <c r="L680" s="33" t="str">
        <f t="shared" si="77"/>
        <v/>
      </c>
      <c r="M680" t="str">
        <f t="shared" si="78"/>
        <v/>
      </c>
      <c r="N680" s="33" t="str">
        <f t="shared" si="79"/>
        <v/>
      </c>
      <c r="O680" s="33" t="str">
        <f t="shared" si="80"/>
        <v/>
      </c>
      <c r="P680" t="str">
        <f t="shared" si="81"/>
        <v/>
      </c>
      <c r="Q680" s="33" t="str">
        <f t="shared" si="82"/>
        <v/>
      </c>
      <c r="R680" s="39" t="str">
        <f t="shared" si="83"/>
        <v/>
      </c>
    </row>
    <row r="681" spans="6:18" x14ac:dyDescent="0.25">
      <c r="F681" s="35">
        <v>675</v>
      </c>
      <c r="L681" s="33" t="str">
        <f t="shared" si="77"/>
        <v/>
      </c>
      <c r="M681" t="str">
        <f t="shared" si="78"/>
        <v/>
      </c>
      <c r="N681" s="33" t="str">
        <f t="shared" si="79"/>
        <v/>
      </c>
      <c r="O681" s="33" t="str">
        <f t="shared" si="80"/>
        <v/>
      </c>
      <c r="P681" t="str">
        <f t="shared" si="81"/>
        <v/>
      </c>
      <c r="Q681" s="33" t="str">
        <f t="shared" si="82"/>
        <v/>
      </c>
      <c r="R681" s="39" t="str">
        <f t="shared" si="83"/>
        <v/>
      </c>
    </row>
    <row r="682" spans="6:18" x14ac:dyDescent="0.25">
      <c r="F682" s="35">
        <v>676</v>
      </c>
      <c r="L682" s="33" t="str">
        <f t="shared" si="77"/>
        <v/>
      </c>
      <c r="M682" t="str">
        <f t="shared" si="78"/>
        <v/>
      </c>
      <c r="N682" s="33" t="str">
        <f t="shared" si="79"/>
        <v/>
      </c>
      <c r="O682" s="33" t="str">
        <f t="shared" si="80"/>
        <v/>
      </c>
      <c r="P682" t="str">
        <f t="shared" si="81"/>
        <v/>
      </c>
      <c r="Q682" s="33" t="str">
        <f t="shared" si="82"/>
        <v/>
      </c>
      <c r="R682" s="39" t="str">
        <f t="shared" si="83"/>
        <v/>
      </c>
    </row>
    <row r="683" spans="6:18" x14ac:dyDescent="0.25">
      <c r="F683" s="35">
        <v>677</v>
      </c>
      <c r="L683" s="33" t="str">
        <f t="shared" si="77"/>
        <v/>
      </c>
      <c r="M683" t="str">
        <f t="shared" si="78"/>
        <v/>
      </c>
      <c r="N683" s="33" t="str">
        <f t="shared" si="79"/>
        <v/>
      </c>
      <c r="O683" s="33" t="str">
        <f t="shared" si="80"/>
        <v/>
      </c>
      <c r="P683" t="str">
        <f t="shared" si="81"/>
        <v/>
      </c>
      <c r="Q683" s="33" t="str">
        <f t="shared" si="82"/>
        <v/>
      </c>
      <c r="R683" s="39" t="str">
        <f t="shared" si="83"/>
        <v/>
      </c>
    </row>
    <row r="684" spans="6:18" x14ac:dyDescent="0.25">
      <c r="F684" s="35">
        <v>678</v>
      </c>
      <c r="L684" s="33" t="str">
        <f t="shared" si="77"/>
        <v/>
      </c>
      <c r="M684" t="str">
        <f t="shared" si="78"/>
        <v/>
      </c>
      <c r="N684" s="33" t="str">
        <f t="shared" si="79"/>
        <v/>
      </c>
      <c r="O684" s="33" t="str">
        <f t="shared" si="80"/>
        <v/>
      </c>
      <c r="P684" t="str">
        <f t="shared" si="81"/>
        <v/>
      </c>
      <c r="Q684" s="33" t="str">
        <f t="shared" si="82"/>
        <v/>
      </c>
      <c r="R684" s="39" t="str">
        <f t="shared" si="83"/>
        <v/>
      </c>
    </row>
    <row r="685" spans="6:18" x14ac:dyDescent="0.25">
      <c r="F685" s="35">
        <v>679</v>
      </c>
      <c r="L685" s="33" t="str">
        <f t="shared" si="77"/>
        <v/>
      </c>
      <c r="M685" t="str">
        <f t="shared" si="78"/>
        <v/>
      </c>
      <c r="N685" s="33" t="str">
        <f t="shared" si="79"/>
        <v/>
      </c>
      <c r="O685" s="33" t="str">
        <f t="shared" si="80"/>
        <v/>
      </c>
      <c r="P685" t="str">
        <f t="shared" si="81"/>
        <v/>
      </c>
      <c r="Q685" s="33" t="str">
        <f t="shared" si="82"/>
        <v/>
      </c>
      <c r="R685" s="39" t="str">
        <f t="shared" si="83"/>
        <v/>
      </c>
    </row>
    <row r="686" spans="6:18" x14ac:dyDescent="0.25">
      <c r="F686" s="35">
        <v>680</v>
      </c>
      <c r="L686" s="33" t="str">
        <f t="shared" si="77"/>
        <v/>
      </c>
      <c r="M686" t="str">
        <f t="shared" si="78"/>
        <v/>
      </c>
      <c r="N686" s="33" t="str">
        <f t="shared" si="79"/>
        <v/>
      </c>
      <c r="O686" s="33" t="str">
        <f t="shared" si="80"/>
        <v/>
      </c>
      <c r="P686" t="str">
        <f t="shared" si="81"/>
        <v/>
      </c>
      <c r="Q686" s="33" t="str">
        <f t="shared" si="82"/>
        <v/>
      </c>
      <c r="R686" s="39" t="str">
        <f t="shared" si="83"/>
        <v/>
      </c>
    </row>
    <row r="687" spans="6:18" x14ac:dyDescent="0.25">
      <c r="F687" s="35">
        <v>681</v>
      </c>
      <c r="L687" s="33" t="str">
        <f t="shared" si="77"/>
        <v/>
      </c>
      <c r="M687" t="str">
        <f t="shared" si="78"/>
        <v/>
      </c>
      <c r="N687" s="33" t="str">
        <f t="shared" si="79"/>
        <v/>
      </c>
      <c r="O687" s="33" t="str">
        <f t="shared" si="80"/>
        <v/>
      </c>
      <c r="P687" t="str">
        <f t="shared" si="81"/>
        <v/>
      </c>
      <c r="Q687" s="33" t="str">
        <f t="shared" si="82"/>
        <v/>
      </c>
      <c r="R687" s="39" t="str">
        <f t="shared" si="83"/>
        <v/>
      </c>
    </row>
    <row r="688" spans="6:18" x14ac:dyDescent="0.25">
      <c r="F688" s="35">
        <v>682</v>
      </c>
      <c r="L688" s="33" t="str">
        <f t="shared" si="77"/>
        <v/>
      </c>
      <c r="M688" t="str">
        <f t="shared" si="78"/>
        <v/>
      </c>
      <c r="N688" s="33" t="str">
        <f t="shared" si="79"/>
        <v/>
      </c>
      <c r="O688" s="33" t="str">
        <f t="shared" si="80"/>
        <v/>
      </c>
      <c r="P688" t="str">
        <f t="shared" si="81"/>
        <v/>
      </c>
      <c r="Q688" s="33" t="str">
        <f t="shared" si="82"/>
        <v/>
      </c>
      <c r="R688" s="39" t="str">
        <f t="shared" si="83"/>
        <v/>
      </c>
    </row>
    <row r="689" spans="6:18" x14ac:dyDescent="0.25">
      <c r="F689" s="35">
        <v>683</v>
      </c>
      <c r="L689" s="33" t="str">
        <f t="shared" si="77"/>
        <v/>
      </c>
      <c r="M689" t="str">
        <f t="shared" si="78"/>
        <v/>
      </c>
      <c r="N689" s="33" t="str">
        <f t="shared" si="79"/>
        <v/>
      </c>
      <c r="O689" s="33" t="str">
        <f t="shared" si="80"/>
        <v/>
      </c>
      <c r="P689" t="str">
        <f t="shared" si="81"/>
        <v/>
      </c>
      <c r="Q689" s="33" t="str">
        <f t="shared" si="82"/>
        <v/>
      </c>
      <c r="R689" s="39" t="str">
        <f t="shared" si="83"/>
        <v/>
      </c>
    </row>
    <row r="690" spans="6:18" x14ac:dyDescent="0.25">
      <c r="F690" s="35">
        <v>684</v>
      </c>
      <c r="L690" s="33" t="str">
        <f t="shared" si="77"/>
        <v/>
      </c>
      <c r="M690" t="str">
        <f t="shared" si="78"/>
        <v/>
      </c>
      <c r="N690" s="33" t="str">
        <f t="shared" si="79"/>
        <v/>
      </c>
      <c r="O690" s="33" t="str">
        <f t="shared" si="80"/>
        <v/>
      </c>
      <c r="P690" t="str">
        <f t="shared" si="81"/>
        <v/>
      </c>
      <c r="Q690" s="33" t="str">
        <f t="shared" si="82"/>
        <v/>
      </c>
      <c r="R690" s="39" t="str">
        <f t="shared" si="83"/>
        <v/>
      </c>
    </row>
    <row r="691" spans="6:18" x14ac:dyDescent="0.25">
      <c r="F691" s="35">
        <v>685</v>
      </c>
      <c r="L691" s="33" t="str">
        <f t="shared" si="77"/>
        <v/>
      </c>
      <c r="M691" t="str">
        <f t="shared" si="78"/>
        <v/>
      </c>
      <c r="N691" s="33" t="str">
        <f t="shared" si="79"/>
        <v/>
      </c>
      <c r="O691" s="33" t="str">
        <f t="shared" si="80"/>
        <v/>
      </c>
      <c r="P691" t="str">
        <f t="shared" si="81"/>
        <v/>
      </c>
      <c r="Q691" s="33" t="str">
        <f t="shared" si="82"/>
        <v/>
      </c>
      <c r="R691" s="39" t="str">
        <f t="shared" si="83"/>
        <v/>
      </c>
    </row>
    <row r="692" spans="6:18" x14ac:dyDescent="0.25">
      <c r="F692" s="35">
        <v>686</v>
      </c>
      <c r="L692" s="33" t="str">
        <f t="shared" si="77"/>
        <v/>
      </c>
      <c r="M692" t="str">
        <f t="shared" si="78"/>
        <v/>
      </c>
      <c r="N692" s="33" t="str">
        <f t="shared" si="79"/>
        <v/>
      </c>
      <c r="O692" s="33" t="str">
        <f t="shared" si="80"/>
        <v/>
      </c>
      <c r="P692" t="str">
        <f t="shared" si="81"/>
        <v/>
      </c>
      <c r="Q692" s="33" t="str">
        <f t="shared" si="82"/>
        <v/>
      </c>
      <c r="R692" s="39" t="str">
        <f t="shared" si="83"/>
        <v/>
      </c>
    </row>
    <row r="693" spans="6:18" x14ac:dyDescent="0.25">
      <c r="F693" s="35">
        <v>687</v>
      </c>
      <c r="L693" s="33" t="str">
        <f t="shared" si="77"/>
        <v/>
      </c>
      <c r="M693" t="str">
        <f t="shared" si="78"/>
        <v/>
      </c>
      <c r="N693" s="33" t="str">
        <f t="shared" si="79"/>
        <v/>
      </c>
      <c r="O693" s="33" t="str">
        <f t="shared" si="80"/>
        <v/>
      </c>
      <c r="P693" t="str">
        <f t="shared" si="81"/>
        <v/>
      </c>
      <c r="Q693" s="33" t="str">
        <f t="shared" si="82"/>
        <v/>
      </c>
      <c r="R693" s="39" t="str">
        <f t="shared" si="83"/>
        <v/>
      </c>
    </row>
    <row r="694" spans="6:18" x14ac:dyDescent="0.25">
      <c r="F694" s="35">
        <v>688</v>
      </c>
      <c r="L694" s="33" t="str">
        <f t="shared" si="77"/>
        <v/>
      </c>
      <c r="M694" t="str">
        <f t="shared" si="78"/>
        <v/>
      </c>
      <c r="N694" s="33" t="str">
        <f t="shared" si="79"/>
        <v/>
      </c>
      <c r="O694" s="33" t="str">
        <f t="shared" si="80"/>
        <v/>
      </c>
      <c r="P694" t="str">
        <f t="shared" si="81"/>
        <v/>
      </c>
      <c r="Q694" s="33" t="str">
        <f t="shared" si="82"/>
        <v/>
      </c>
      <c r="R694" s="39" t="str">
        <f t="shared" si="83"/>
        <v/>
      </c>
    </row>
    <row r="695" spans="6:18" x14ac:dyDescent="0.25">
      <c r="F695" s="35">
        <v>689</v>
      </c>
      <c r="L695" s="33" t="str">
        <f t="shared" si="77"/>
        <v/>
      </c>
      <c r="M695" t="str">
        <f t="shared" si="78"/>
        <v/>
      </c>
      <c r="N695" s="33" t="str">
        <f t="shared" si="79"/>
        <v/>
      </c>
      <c r="O695" s="33" t="str">
        <f t="shared" si="80"/>
        <v/>
      </c>
      <c r="P695" t="str">
        <f t="shared" si="81"/>
        <v/>
      </c>
      <c r="Q695" s="33" t="str">
        <f t="shared" si="82"/>
        <v/>
      </c>
      <c r="R695" s="39" t="str">
        <f t="shared" si="83"/>
        <v/>
      </c>
    </row>
    <row r="696" spans="6:18" x14ac:dyDescent="0.25">
      <c r="F696" s="35">
        <v>690</v>
      </c>
      <c r="L696" s="33" t="str">
        <f t="shared" si="77"/>
        <v/>
      </c>
      <c r="M696" t="str">
        <f t="shared" si="78"/>
        <v/>
      </c>
      <c r="N696" s="33" t="str">
        <f t="shared" si="79"/>
        <v/>
      </c>
      <c r="O696" s="33" t="str">
        <f t="shared" si="80"/>
        <v/>
      </c>
      <c r="P696" t="str">
        <f t="shared" si="81"/>
        <v/>
      </c>
      <c r="Q696" s="33" t="str">
        <f t="shared" si="82"/>
        <v/>
      </c>
      <c r="R696" s="39" t="str">
        <f t="shared" si="83"/>
        <v/>
      </c>
    </row>
    <row r="697" spans="6:18" x14ac:dyDescent="0.25">
      <c r="F697" s="35">
        <v>691</v>
      </c>
      <c r="L697" s="33" t="str">
        <f t="shared" si="77"/>
        <v/>
      </c>
      <c r="M697" t="str">
        <f t="shared" si="78"/>
        <v/>
      </c>
      <c r="N697" s="33" t="str">
        <f t="shared" si="79"/>
        <v/>
      </c>
      <c r="O697" s="33" t="str">
        <f t="shared" si="80"/>
        <v/>
      </c>
      <c r="P697" t="str">
        <f t="shared" si="81"/>
        <v/>
      </c>
      <c r="Q697" s="33" t="str">
        <f t="shared" si="82"/>
        <v/>
      </c>
      <c r="R697" s="39" t="str">
        <f t="shared" si="83"/>
        <v/>
      </c>
    </row>
    <row r="698" spans="6:18" x14ac:dyDescent="0.25">
      <c r="F698" s="35">
        <v>692</v>
      </c>
      <c r="L698" s="33" t="str">
        <f t="shared" si="77"/>
        <v/>
      </c>
      <c r="M698" t="str">
        <f t="shared" si="78"/>
        <v/>
      </c>
      <c r="N698" s="33" t="str">
        <f t="shared" si="79"/>
        <v/>
      </c>
      <c r="O698" s="33" t="str">
        <f t="shared" si="80"/>
        <v/>
      </c>
      <c r="P698" t="str">
        <f t="shared" si="81"/>
        <v/>
      </c>
      <c r="Q698" s="33" t="str">
        <f t="shared" si="82"/>
        <v/>
      </c>
      <c r="R698" s="39" t="str">
        <f t="shared" si="83"/>
        <v/>
      </c>
    </row>
    <row r="699" spans="6:18" x14ac:dyDescent="0.25">
      <c r="F699" s="35">
        <v>693</v>
      </c>
      <c r="L699" s="33" t="str">
        <f t="shared" si="77"/>
        <v/>
      </c>
      <c r="M699" t="str">
        <f t="shared" si="78"/>
        <v/>
      </c>
      <c r="N699" s="33" t="str">
        <f t="shared" si="79"/>
        <v/>
      </c>
      <c r="O699" s="33" t="str">
        <f t="shared" si="80"/>
        <v/>
      </c>
      <c r="P699" t="str">
        <f t="shared" si="81"/>
        <v/>
      </c>
      <c r="Q699" s="33" t="str">
        <f t="shared" si="82"/>
        <v/>
      </c>
      <c r="R699" s="39" t="str">
        <f t="shared" si="83"/>
        <v/>
      </c>
    </row>
    <row r="700" spans="6:18" x14ac:dyDescent="0.25">
      <c r="F700" s="35">
        <v>694</v>
      </c>
      <c r="L700" s="33" t="str">
        <f t="shared" si="77"/>
        <v/>
      </c>
      <c r="M700" t="str">
        <f t="shared" si="78"/>
        <v/>
      </c>
      <c r="N700" s="33" t="str">
        <f t="shared" si="79"/>
        <v/>
      </c>
      <c r="O700" s="33" t="str">
        <f t="shared" si="80"/>
        <v/>
      </c>
      <c r="P700" t="str">
        <f t="shared" si="81"/>
        <v/>
      </c>
      <c r="Q700" s="33" t="str">
        <f t="shared" si="82"/>
        <v/>
      </c>
      <c r="R700" s="39" t="str">
        <f t="shared" si="83"/>
        <v/>
      </c>
    </row>
    <row r="701" spans="6:18" x14ac:dyDescent="0.25">
      <c r="F701" s="35">
        <v>695</v>
      </c>
      <c r="L701" s="33" t="str">
        <f t="shared" si="77"/>
        <v/>
      </c>
      <c r="M701" t="str">
        <f t="shared" si="78"/>
        <v/>
      </c>
      <c r="N701" s="33" t="str">
        <f t="shared" si="79"/>
        <v/>
      </c>
      <c r="O701" s="33" t="str">
        <f t="shared" si="80"/>
        <v/>
      </c>
      <c r="P701" t="str">
        <f t="shared" si="81"/>
        <v/>
      </c>
      <c r="Q701" s="33" t="str">
        <f t="shared" si="82"/>
        <v/>
      </c>
      <c r="R701" s="39" t="str">
        <f t="shared" si="83"/>
        <v/>
      </c>
    </row>
    <row r="702" spans="6:18" x14ac:dyDescent="0.25">
      <c r="F702" s="35">
        <v>696</v>
      </c>
      <c r="L702" s="33" t="str">
        <f t="shared" si="77"/>
        <v/>
      </c>
      <c r="M702" t="str">
        <f t="shared" si="78"/>
        <v/>
      </c>
      <c r="N702" s="33" t="str">
        <f t="shared" si="79"/>
        <v/>
      </c>
      <c r="O702" s="33" t="str">
        <f t="shared" si="80"/>
        <v/>
      </c>
      <c r="P702" t="str">
        <f t="shared" si="81"/>
        <v/>
      </c>
      <c r="Q702" s="33" t="str">
        <f t="shared" si="82"/>
        <v/>
      </c>
      <c r="R702" s="39" t="str">
        <f t="shared" si="83"/>
        <v/>
      </c>
    </row>
    <row r="703" spans="6:18" x14ac:dyDescent="0.25">
      <c r="F703" s="35">
        <v>697</v>
      </c>
      <c r="L703" s="33" t="str">
        <f t="shared" si="77"/>
        <v/>
      </c>
      <c r="M703" t="str">
        <f t="shared" si="78"/>
        <v/>
      </c>
      <c r="N703" s="33" t="str">
        <f t="shared" si="79"/>
        <v/>
      </c>
      <c r="O703" s="33" t="str">
        <f t="shared" si="80"/>
        <v/>
      </c>
      <c r="P703" t="str">
        <f t="shared" si="81"/>
        <v/>
      </c>
      <c r="Q703" s="33" t="str">
        <f t="shared" si="82"/>
        <v/>
      </c>
      <c r="R703" s="39" t="str">
        <f t="shared" si="83"/>
        <v/>
      </c>
    </row>
    <row r="704" spans="6:18" x14ac:dyDescent="0.25">
      <c r="F704" s="35">
        <v>698</v>
      </c>
      <c r="L704" s="33" t="str">
        <f t="shared" si="77"/>
        <v/>
      </c>
      <c r="M704" t="str">
        <f t="shared" si="78"/>
        <v/>
      </c>
      <c r="N704" s="33" t="str">
        <f t="shared" si="79"/>
        <v/>
      </c>
      <c r="O704" s="33" t="str">
        <f t="shared" si="80"/>
        <v/>
      </c>
      <c r="P704" t="str">
        <f t="shared" si="81"/>
        <v/>
      </c>
      <c r="Q704" s="33" t="str">
        <f t="shared" si="82"/>
        <v/>
      </c>
      <c r="R704" s="39" t="str">
        <f t="shared" si="83"/>
        <v/>
      </c>
    </row>
    <row r="705" spans="6:18" x14ac:dyDescent="0.25">
      <c r="F705" s="35">
        <v>699</v>
      </c>
      <c r="L705" s="33" t="str">
        <f t="shared" si="77"/>
        <v/>
      </c>
      <c r="M705" t="str">
        <f t="shared" si="78"/>
        <v/>
      </c>
      <c r="N705" s="33" t="str">
        <f t="shared" si="79"/>
        <v/>
      </c>
      <c r="O705" s="33" t="str">
        <f t="shared" si="80"/>
        <v/>
      </c>
      <c r="P705" t="str">
        <f t="shared" si="81"/>
        <v/>
      </c>
      <c r="Q705" s="33" t="str">
        <f t="shared" si="82"/>
        <v/>
      </c>
      <c r="R705" s="39" t="str">
        <f t="shared" si="83"/>
        <v/>
      </c>
    </row>
    <row r="706" spans="6:18" x14ac:dyDescent="0.25">
      <c r="F706" s="35">
        <v>700</v>
      </c>
      <c r="L706" s="33" t="str">
        <f t="shared" si="77"/>
        <v/>
      </c>
      <c r="M706" t="str">
        <f t="shared" si="78"/>
        <v/>
      </c>
      <c r="N706" s="33" t="str">
        <f t="shared" si="79"/>
        <v/>
      </c>
      <c r="O706" s="33" t="str">
        <f t="shared" si="80"/>
        <v/>
      </c>
      <c r="P706" t="str">
        <f t="shared" si="81"/>
        <v/>
      </c>
      <c r="Q706" s="33" t="str">
        <f t="shared" si="82"/>
        <v/>
      </c>
      <c r="R706" s="39" t="str">
        <f t="shared" si="83"/>
        <v/>
      </c>
    </row>
    <row r="707" spans="6:18" x14ac:dyDescent="0.25">
      <c r="F707" s="35">
        <v>701</v>
      </c>
      <c r="L707" s="33" t="str">
        <f t="shared" si="77"/>
        <v/>
      </c>
      <c r="M707" t="str">
        <f t="shared" si="78"/>
        <v/>
      </c>
      <c r="N707" s="33" t="str">
        <f t="shared" si="79"/>
        <v/>
      </c>
      <c r="O707" s="33" t="str">
        <f t="shared" si="80"/>
        <v/>
      </c>
      <c r="P707" t="str">
        <f t="shared" si="81"/>
        <v/>
      </c>
      <c r="Q707" s="33" t="str">
        <f t="shared" si="82"/>
        <v/>
      </c>
      <c r="R707" s="39" t="str">
        <f t="shared" si="83"/>
        <v/>
      </c>
    </row>
    <row r="708" spans="6:18" x14ac:dyDescent="0.25">
      <c r="F708" s="35">
        <v>702</v>
      </c>
      <c r="L708" s="33" t="str">
        <f t="shared" si="77"/>
        <v/>
      </c>
      <c r="M708" t="str">
        <f t="shared" si="78"/>
        <v/>
      </c>
      <c r="N708" s="33" t="str">
        <f t="shared" si="79"/>
        <v/>
      </c>
      <c r="O708" s="33" t="str">
        <f t="shared" si="80"/>
        <v/>
      </c>
      <c r="P708" t="str">
        <f t="shared" si="81"/>
        <v/>
      </c>
      <c r="Q708" s="33" t="str">
        <f t="shared" si="82"/>
        <v/>
      </c>
      <c r="R708" s="39" t="str">
        <f t="shared" si="83"/>
        <v/>
      </c>
    </row>
    <row r="709" spans="6:18" x14ac:dyDescent="0.25">
      <c r="F709" s="35">
        <v>703</v>
      </c>
      <c r="L709" s="33" t="str">
        <f t="shared" si="77"/>
        <v/>
      </c>
      <c r="M709" t="str">
        <f t="shared" si="78"/>
        <v/>
      </c>
      <c r="N709" s="33" t="str">
        <f t="shared" si="79"/>
        <v/>
      </c>
      <c r="O709" s="33" t="str">
        <f t="shared" si="80"/>
        <v/>
      </c>
      <c r="P709" t="str">
        <f t="shared" si="81"/>
        <v/>
      </c>
      <c r="Q709" s="33" t="str">
        <f t="shared" si="82"/>
        <v/>
      </c>
      <c r="R709" s="39" t="str">
        <f t="shared" si="83"/>
        <v/>
      </c>
    </row>
    <row r="710" spans="6:18" x14ac:dyDescent="0.25">
      <c r="F710" s="35">
        <v>704</v>
      </c>
      <c r="L710" s="33" t="str">
        <f t="shared" si="77"/>
        <v/>
      </c>
      <c r="M710" t="str">
        <f t="shared" si="78"/>
        <v/>
      </c>
      <c r="N710" s="33" t="str">
        <f t="shared" si="79"/>
        <v/>
      </c>
      <c r="O710" s="33" t="str">
        <f t="shared" si="80"/>
        <v/>
      </c>
      <c r="P710" t="str">
        <f t="shared" si="81"/>
        <v/>
      </c>
      <c r="Q710" s="33" t="str">
        <f t="shared" si="82"/>
        <v/>
      </c>
      <c r="R710" s="39" t="str">
        <f t="shared" si="83"/>
        <v/>
      </c>
    </row>
    <row r="711" spans="6:18" x14ac:dyDescent="0.25">
      <c r="F711" s="35">
        <v>705</v>
      </c>
      <c r="L711" s="33" t="str">
        <f t="shared" si="77"/>
        <v/>
      </c>
      <c r="M711" t="str">
        <f t="shared" si="78"/>
        <v/>
      </c>
      <c r="N711" s="33" t="str">
        <f t="shared" si="79"/>
        <v/>
      </c>
      <c r="O711" s="33" t="str">
        <f t="shared" si="80"/>
        <v/>
      </c>
      <c r="P711" t="str">
        <f t="shared" si="81"/>
        <v/>
      </c>
      <c r="Q711" s="33" t="str">
        <f t="shared" si="82"/>
        <v/>
      </c>
      <c r="R711" s="39" t="str">
        <f t="shared" si="83"/>
        <v/>
      </c>
    </row>
    <row r="712" spans="6:18" x14ac:dyDescent="0.25">
      <c r="F712" s="35">
        <v>706</v>
      </c>
      <c r="L712" s="33" t="str">
        <f t="shared" ref="L712:L775" si="84">IF(G712="","",$C$4*$C$6*$C$7/360)</f>
        <v/>
      </c>
      <c r="M712" t="str">
        <f t="shared" ref="M712:M775" si="85">IF(G712="","",IF(H712=$G$2,100,0))</f>
        <v/>
      </c>
      <c r="N712" s="33" t="str">
        <f t="shared" ref="N712:N775" si="86">IF(G712="","",L712+M712)</f>
        <v/>
      </c>
      <c r="O712" s="33" t="str">
        <f t="shared" ref="O712:O775" si="87">IF(G712="","",1/(1+$C$5*K712/360)^(J712/K712))</f>
        <v/>
      </c>
      <c r="P712" t="str">
        <f t="shared" ref="P712:P775" si="88">IF(G712="","",H712-$C$12)</f>
        <v/>
      </c>
      <c r="Q712" s="33" t="str">
        <f t="shared" ref="Q712:Q775" si="89">IF(G712="","",(P712/K712))</f>
        <v/>
      </c>
      <c r="R712" s="39" t="str">
        <f t="shared" ref="R712:R775" si="90">IF(G712="","",N712*O712)</f>
        <v/>
      </c>
    </row>
    <row r="713" spans="6:18" x14ac:dyDescent="0.25">
      <c r="F713" s="35">
        <v>707</v>
      </c>
      <c r="L713" s="33" t="str">
        <f t="shared" si="84"/>
        <v/>
      </c>
      <c r="M713" t="str">
        <f t="shared" si="85"/>
        <v/>
      </c>
      <c r="N713" s="33" t="str">
        <f t="shared" si="86"/>
        <v/>
      </c>
      <c r="O713" s="33" t="str">
        <f t="shared" si="87"/>
        <v/>
      </c>
      <c r="P713" t="str">
        <f t="shared" si="88"/>
        <v/>
      </c>
      <c r="Q713" s="33" t="str">
        <f t="shared" si="89"/>
        <v/>
      </c>
      <c r="R713" s="39" t="str">
        <f t="shared" si="90"/>
        <v/>
      </c>
    </row>
    <row r="714" spans="6:18" x14ac:dyDescent="0.25">
      <c r="F714" s="35">
        <v>708</v>
      </c>
      <c r="L714" s="33" t="str">
        <f t="shared" si="84"/>
        <v/>
      </c>
      <c r="M714" t="str">
        <f t="shared" si="85"/>
        <v/>
      </c>
      <c r="N714" s="33" t="str">
        <f t="shared" si="86"/>
        <v/>
      </c>
      <c r="O714" s="33" t="str">
        <f t="shared" si="87"/>
        <v/>
      </c>
      <c r="P714" t="str">
        <f t="shared" si="88"/>
        <v/>
      </c>
      <c r="Q714" s="33" t="str">
        <f t="shared" si="89"/>
        <v/>
      </c>
      <c r="R714" s="39" t="str">
        <f t="shared" si="90"/>
        <v/>
      </c>
    </row>
    <row r="715" spans="6:18" x14ac:dyDescent="0.25">
      <c r="F715" s="35">
        <v>709</v>
      </c>
      <c r="L715" s="33" t="str">
        <f t="shared" si="84"/>
        <v/>
      </c>
      <c r="M715" t="str">
        <f t="shared" si="85"/>
        <v/>
      </c>
      <c r="N715" s="33" t="str">
        <f t="shared" si="86"/>
        <v/>
      </c>
      <c r="O715" s="33" t="str">
        <f t="shared" si="87"/>
        <v/>
      </c>
      <c r="P715" t="str">
        <f t="shared" si="88"/>
        <v/>
      </c>
      <c r="Q715" s="33" t="str">
        <f t="shared" si="89"/>
        <v/>
      </c>
      <c r="R715" s="39" t="str">
        <f t="shared" si="90"/>
        <v/>
      </c>
    </row>
    <row r="716" spans="6:18" x14ac:dyDescent="0.25">
      <c r="F716" s="35">
        <v>710</v>
      </c>
      <c r="L716" s="33" t="str">
        <f t="shared" si="84"/>
        <v/>
      </c>
      <c r="M716" t="str">
        <f t="shared" si="85"/>
        <v/>
      </c>
      <c r="N716" s="33" t="str">
        <f t="shared" si="86"/>
        <v/>
      </c>
      <c r="O716" s="33" t="str">
        <f t="shared" si="87"/>
        <v/>
      </c>
      <c r="P716" t="str">
        <f t="shared" si="88"/>
        <v/>
      </c>
      <c r="Q716" s="33" t="str">
        <f t="shared" si="89"/>
        <v/>
      </c>
      <c r="R716" s="39" t="str">
        <f t="shared" si="90"/>
        <v/>
      </c>
    </row>
    <row r="717" spans="6:18" x14ac:dyDescent="0.25">
      <c r="F717" s="35">
        <v>711</v>
      </c>
      <c r="L717" s="33" t="str">
        <f t="shared" si="84"/>
        <v/>
      </c>
      <c r="M717" t="str">
        <f t="shared" si="85"/>
        <v/>
      </c>
      <c r="N717" s="33" t="str">
        <f t="shared" si="86"/>
        <v/>
      </c>
      <c r="O717" s="33" t="str">
        <f t="shared" si="87"/>
        <v/>
      </c>
      <c r="P717" t="str">
        <f t="shared" si="88"/>
        <v/>
      </c>
      <c r="Q717" s="33" t="str">
        <f t="shared" si="89"/>
        <v/>
      </c>
      <c r="R717" s="39" t="str">
        <f t="shared" si="90"/>
        <v/>
      </c>
    </row>
    <row r="718" spans="6:18" x14ac:dyDescent="0.25">
      <c r="F718" s="35">
        <v>712</v>
      </c>
      <c r="L718" s="33" t="str">
        <f t="shared" si="84"/>
        <v/>
      </c>
      <c r="M718" t="str">
        <f t="shared" si="85"/>
        <v/>
      </c>
      <c r="N718" s="33" t="str">
        <f t="shared" si="86"/>
        <v/>
      </c>
      <c r="O718" s="33" t="str">
        <f t="shared" si="87"/>
        <v/>
      </c>
      <c r="P718" t="str">
        <f t="shared" si="88"/>
        <v/>
      </c>
      <c r="Q718" s="33" t="str">
        <f t="shared" si="89"/>
        <v/>
      </c>
      <c r="R718" s="39" t="str">
        <f t="shared" si="90"/>
        <v/>
      </c>
    </row>
    <row r="719" spans="6:18" x14ac:dyDescent="0.25">
      <c r="F719" s="35">
        <v>713</v>
      </c>
      <c r="L719" s="33" t="str">
        <f t="shared" si="84"/>
        <v/>
      </c>
      <c r="M719" t="str">
        <f t="shared" si="85"/>
        <v/>
      </c>
      <c r="N719" s="33" t="str">
        <f t="shared" si="86"/>
        <v/>
      </c>
      <c r="O719" s="33" t="str">
        <f t="shared" si="87"/>
        <v/>
      </c>
      <c r="P719" t="str">
        <f t="shared" si="88"/>
        <v/>
      </c>
      <c r="Q719" s="33" t="str">
        <f t="shared" si="89"/>
        <v/>
      </c>
      <c r="R719" s="39" t="str">
        <f t="shared" si="90"/>
        <v/>
      </c>
    </row>
    <row r="720" spans="6:18" x14ac:dyDescent="0.25">
      <c r="F720" s="35">
        <v>714</v>
      </c>
      <c r="L720" s="33" t="str">
        <f t="shared" si="84"/>
        <v/>
      </c>
      <c r="M720" t="str">
        <f t="shared" si="85"/>
        <v/>
      </c>
      <c r="N720" s="33" t="str">
        <f t="shared" si="86"/>
        <v/>
      </c>
      <c r="O720" s="33" t="str">
        <f t="shared" si="87"/>
        <v/>
      </c>
      <c r="P720" t="str">
        <f t="shared" si="88"/>
        <v/>
      </c>
      <c r="Q720" s="33" t="str">
        <f t="shared" si="89"/>
        <v/>
      </c>
      <c r="R720" s="39" t="str">
        <f t="shared" si="90"/>
        <v/>
      </c>
    </row>
    <row r="721" spans="6:18" x14ac:dyDescent="0.25">
      <c r="F721" s="35">
        <v>715</v>
      </c>
      <c r="L721" s="33" t="str">
        <f t="shared" si="84"/>
        <v/>
      </c>
      <c r="M721" t="str">
        <f t="shared" si="85"/>
        <v/>
      </c>
      <c r="N721" s="33" t="str">
        <f t="shared" si="86"/>
        <v/>
      </c>
      <c r="O721" s="33" t="str">
        <f t="shared" si="87"/>
        <v/>
      </c>
      <c r="P721" t="str">
        <f t="shared" si="88"/>
        <v/>
      </c>
      <c r="Q721" s="33" t="str">
        <f t="shared" si="89"/>
        <v/>
      </c>
      <c r="R721" s="39" t="str">
        <f t="shared" si="90"/>
        <v/>
      </c>
    </row>
    <row r="722" spans="6:18" x14ac:dyDescent="0.25">
      <c r="F722" s="35">
        <v>716</v>
      </c>
      <c r="L722" s="33" t="str">
        <f t="shared" si="84"/>
        <v/>
      </c>
      <c r="M722" t="str">
        <f t="shared" si="85"/>
        <v/>
      </c>
      <c r="N722" s="33" t="str">
        <f t="shared" si="86"/>
        <v/>
      </c>
      <c r="O722" s="33" t="str">
        <f t="shared" si="87"/>
        <v/>
      </c>
      <c r="P722" t="str">
        <f t="shared" si="88"/>
        <v/>
      </c>
      <c r="Q722" s="33" t="str">
        <f t="shared" si="89"/>
        <v/>
      </c>
      <c r="R722" s="39" t="str">
        <f t="shared" si="90"/>
        <v/>
      </c>
    </row>
    <row r="723" spans="6:18" x14ac:dyDescent="0.25">
      <c r="F723" s="35">
        <v>717</v>
      </c>
      <c r="L723" s="33" t="str">
        <f t="shared" si="84"/>
        <v/>
      </c>
      <c r="M723" t="str">
        <f t="shared" si="85"/>
        <v/>
      </c>
      <c r="N723" s="33" t="str">
        <f t="shared" si="86"/>
        <v/>
      </c>
      <c r="O723" s="33" t="str">
        <f t="shared" si="87"/>
        <v/>
      </c>
      <c r="P723" t="str">
        <f t="shared" si="88"/>
        <v/>
      </c>
      <c r="Q723" s="33" t="str">
        <f t="shared" si="89"/>
        <v/>
      </c>
      <c r="R723" s="39" t="str">
        <f t="shared" si="90"/>
        <v/>
      </c>
    </row>
    <row r="724" spans="6:18" x14ac:dyDescent="0.25">
      <c r="F724" s="35">
        <v>718</v>
      </c>
      <c r="L724" s="33" t="str">
        <f t="shared" si="84"/>
        <v/>
      </c>
      <c r="M724" t="str">
        <f t="shared" si="85"/>
        <v/>
      </c>
      <c r="N724" s="33" t="str">
        <f t="shared" si="86"/>
        <v/>
      </c>
      <c r="O724" s="33" t="str">
        <f t="shared" si="87"/>
        <v/>
      </c>
      <c r="P724" t="str">
        <f t="shared" si="88"/>
        <v/>
      </c>
      <c r="Q724" s="33" t="str">
        <f t="shared" si="89"/>
        <v/>
      </c>
      <c r="R724" s="39" t="str">
        <f t="shared" si="90"/>
        <v/>
      </c>
    </row>
    <row r="725" spans="6:18" x14ac:dyDescent="0.25">
      <c r="F725" s="35">
        <v>719</v>
      </c>
      <c r="L725" s="33" t="str">
        <f t="shared" si="84"/>
        <v/>
      </c>
      <c r="M725" t="str">
        <f t="shared" si="85"/>
        <v/>
      </c>
      <c r="N725" s="33" t="str">
        <f t="shared" si="86"/>
        <v/>
      </c>
      <c r="O725" s="33" t="str">
        <f t="shared" si="87"/>
        <v/>
      </c>
      <c r="P725" t="str">
        <f t="shared" si="88"/>
        <v/>
      </c>
      <c r="Q725" s="33" t="str">
        <f t="shared" si="89"/>
        <v/>
      </c>
      <c r="R725" s="39" t="str">
        <f t="shared" si="90"/>
        <v/>
      </c>
    </row>
    <row r="726" spans="6:18" x14ac:dyDescent="0.25">
      <c r="F726" s="35">
        <v>720</v>
      </c>
      <c r="L726" s="33" t="str">
        <f t="shared" si="84"/>
        <v/>
      </c>
      <c r="M726" t="str">
        <f t="shared" si="85"/>
        <v/>
      </c>
      <c r="N726" s="33" t="str">
        <f t="shared" si="86"/>
        <v/>
      </c>
      <c r="O726" s="33" t="str">
        <f t="shared" si="87"/>
        <v/>
      </c>
      <c r="P726" t="str">
        <f t="shared" si="88"/>
        <v/>
      </c>
      <c r="Q726" s="33" t="str">
        <f t="shared" si="89"/>
        <v/>
      </c>
      <c r="R726" s="39" t="str">
        <f t="shared" si="90"/>
        <v/>
      </c>
    </row>
    <row r="727" spans="6:18" x14ac:dyDescent="0.25">
      <c r="F727" s="35">
        <v>721</v>
      </c>
      <c r="L727" s="33" t="str">
        <f t="shared" si="84"/>
        <v/>
      </c>
      <c r="M727" t="str">
        <f t="shared" si="85"/>
        <v/>
      </c>
      <c r="N727" s="33" t="str">
        <f t="shared" si="86"/>
        <v/>
      </c>
      <c r="O727" s="33" t="str">
        <f t="shared" si="87"/>
        <v/>
      </c>
      <c r="P727" t="str">
        <f t="shared" si="88"/>
        <v/>
      </c>
      <c r="Q727" s="33" t="str">
        <f t="shared" si="89"/>
        <v/>
      </c>
      <c r="R727" s="39" t="str">
        <f t="shared" si="90"/>
        <v/>
      </c>
    </row>
    <row r="728" spans="6:18" x14ac:dyDescent="0.25">
      <c r="F728" s="35">
        <v>722</v>
      </c>
      <c r="L728" s="33" t="str">
        <f t="shared" si="84"/>
        <v/>
      </c>
      <c r="M728" t="str">
        <f t="shared" si="85"/>
        <v/>
      </c>
      <c r="N728" s="33" t="str">
        <f t="shared" si="86"/>
        <v/>
      </c>
      <c r="O728" s="33" t="str">
        <f t="shared" si="87"/>
        <v/>
      </c>
      <c r="P728" t="str">
        <f t="shared" si="88"/>
        <v/>
      </c>
      <c r="Q728" s="33" t="str">
        <f t="shared" si="89"/>
        <v/>
      </c>
      <c r="R728" s="39" t="str">
        <f t="shared" si="90"/>
        <v/>
      </c>
    </row>
    <row r="729" spans="6:18" x14ac:dyDescent="0.25">
      <c r="F729" s="35">
        <v>723</v>
      </c>
      <c r="L729" s="33" t="str">
        <f t="shared" si="84"/>
        <v/>
      </c>
      <c r="M729" t="str">
        <f t="shared" si="85"/>
        <v/>
      </c>
      <c r="N729" s="33" t="str">
        <f t="shared" si="86"/>
        <v/>
      </c>
      <c r="O729" s="33" t="str">
        <f t="shared" si="87"/>
        <v/>
      </c>
      <c r="P729" t="str">
        <f t="shared" si="88"/>
        <v/>
      </c>
      <c r="Q729" s="33" t="str">
        <f t="shared" si="89"/>
        <v/>
      </c>
      <c r="R729" s="39" t="str">
        <f t="shared" si="90"/>
        <v/>
      </c>
    </row>
    <row r="730" spans="6:18" x14ac:dyDescent="0.25">
      <c r="F730" s="35">
        <v>724</v>
      </c>
      <c r="L730" s="33" t="str">
        <f t="shared" si="84"/>
        <v/>
      </c>
      <c r="M730" t="str">
        <f t="shared" si="85"/>
        <v/>
      </c>
      <c r="N730" s="33" t="str">
        <f t="shared" si="86"/>
        <v/>
      </c>
      <c r="O730" s="33" t="str">
        <f t="shared" si="87"/>
        <v/>
      </c>
      <c r="P730" t="str">
        <f t="shared" si="88"/>
        <v/>
      </c>
      <c r="Q730" s="33" t="str">
        <f t="shared" si="89"/>
        <v/>
      </c>
      <c r="R730" s="39" t="str">
        <f t="shared" si="90"/>
        <v/>
      </c>
    </row>
    <row r="731" spans="6:18" x14ac:dyDescent="0.25">
      <c r="F731" s="35">
        <v>725</v>
      </c>
      <c r="L731" s="33" t="str">
        <f t="shared" si="84"/>
        <v/>
      </c>
      <c r="M731" t="str">
        <f t="shared" si="85"/>
        <v/>
      </c>
      <c r="N731" s="33" t="str">
        <f t="shared" si="86"/>
        <v/>
      </c>
      <c r="O731" s="33" t="str">
        <f t="shared" si="87"/>
        <v/>
      </c>
      <c r="P731" t="str">
        <f t="shared" si="88"/>
        <v/>
      </c>
      <c r="Q731" s="33" t="str">
        <f t="shared" si="89"/>
        <v/>
      </c>
      <c r="R731" s="39" t="str">
        <f t="shared" si="90"/>
        <v/>
      </c>
    </row>
    <row r="732" spans="6:18" x14ac:dyDescent="0.25">
      <c r="F732" s="35">
        <v>726</v>
      </c>
      <c r="L732" s="33" t="str">
        <f t="shared" si="84"/>
        <v/>
      </c>
      <c r="M732" t="str">
        <f t="shared" si="85"/>
        <v/>
      </c>
      <c r="N732" s="33" t="str">
        <f t="shared" si="86"/>
        <v/>
      </c>
      <c r="O732" s="33" t="str">
        <f t="shared" si="87"/>
        <v/>
      </c>
      <c r="P732" t="str">
        <f t="shared" si="88"/>
        <v/>
      </c>
      <c r="Q732" s="33" t="str">
        <f t="shared" si="89"/>
        <v/>
      </c>
      <c r="R732" s="39" t="str">
        <f t="shared" si="90"/>
        <v/>
      </c>
    </row>
    <row r="733" spans="6:18" x14ac:dyDescent="0.25">
      <c r="F733" s="35">
        <v>727</v>
      </c>
      <c r="L733" s="33" t="str">
        <f t="shared" si="84"/>
        <v/>
      </c>
      <c r="M733" t="str">
        <f t="shared" si="85"/>
        <v/>
      </c>
      <c r="N733" s="33" t="str">
        <f t="shared" si="86"/>
        <v/>
      </c>
      <c r="O733" s="33" t="str">
        <f t="shared" si="87"/>
        <v/>
      </c>
      <c r="P733" t="str">
        <f t="shared" si="88"/>
        <v/>
      </c>
      <c r="Q733" s="33" t="str">
        <f t="shared" si="89"/>
        <v/>
      </c>
      <c r="R733" s="39" t="str">
        <f t="shared" si="90"/>
        <v/>
      </c>
    </row>
    <row r="734" spans="6:18" x14ac:dyDescent="0.25">
      <c r="F734" s="35">
        <v>728</v>
      </c>
      <c r="L734" s="33" t="str">
        <f t="shared" si="84"/>
        <v/>
      </c>
      <c r="M734" t="str">
        <f t="shared" si="85"/>
        <v/>
      </c>
      <c r="N734" s="33" t="str">
        <f t="shared" si="86"/>
        <v/>
      </c>
      <c r="O734" s="33" t="str">
        <f t="shared" si="87"/>
        <v/>
      </c>
      <c r="P734" t="str">
        <f t="shared" si="88"/>
        <v/>
      </c>
      <c r="Q734" s="33" t="str">
        <f t="shared" si="89"/>
        <v/>
      </c>
      <c r="R734" s="39" t="str">
        <f t="shared" si="90"/>
        <v/>
      </c>
    </row>
    <row r="735" spans="6:18" x14ac:dyDescent="0.25">
      <c r="F735" s="35">
        <v>729</v>
      </c>
      <c r="L735" s="33" t="str">
        <f t="shared" si="84"/>
        <v/>
      </c>
      <c r="M735" t="str">
        <f t="shared" si="85"/>
        <v/>
      </c>
      <c r="N735" s="33" t="str">
        <f t="shared" si="86"/>
        <v/>
      </c>
      <c r="O735" s="33" t="str">
        <f t="shared" si="87"/>
        <v/>
      </c>
      <c r="P735" t="str">
        <f t="shared" si="88"/>
        <v/>
      </c>
      <c r="Q735" s="33" t="str">
        <f t="shared" si="89"/>
        <v/>
      </c>
      <c r="R735" s="39" t="str">
        <f t="shared" si="90"/>
        <v/>
      </c>
    </row>
    <row r="736" spans="6:18" x14ac:dyDescent="0.25">
      <c r="F736" s="35">
        <v>730</v>
      </c>
      <c r="L736" s="33" t="str">
        <f t="shared" si="84"/>
        <v/>
      </c>
      <c r="M736" t="str">
        <f t="shared" si="85"/>
        <v/>
      </c>
      <c r="N736" s="33" t="str">
        <f t="shared" si="86"/>
        <v/>
      </c>
      <c r="O736" s="33" t="str">
        <f t="shared" si="87"/>
        <v/>
      </c>
      <c r="P736" t="str">
        <f t="shared" si="88"/>
        <v/>
      </c>
      <c r="Q736" s="33" t="str">
        <f t="shared" si="89"/>
        <v/>
      </c>
      <c r="R736" s="39" t="str">
        <f t="shared" si="90"/>
        <v/>
      </c>
    </row>
    <row r="737" spans="6:18" x14ac:dyDescent="0.25">
      <c r="F737" s="35">
        <v>731</v>
      </c>
      <c r="L737" s="33" t="str">
        <f t="shared" si="84"/>
        <v/>
      </c>
      <c r="M737" t="str">
        <f t="shared" si="85"/>
        <v/>
      </c>
      <c r="N737" s="33" t="str">
        <f t="shared" si="86"/>
        <v/>
      </c>
      <c r="O737" s="33" t="str">
        <f t="shared" si="87"/>
        <v/>
      </c>
      <c r="P737" t="str">
        <f t="shared" si="88"/>
        <v/>
      </c>
      <c r="Q737" s="33" t="str">
        <f t="shared" si="89"/>
        <v/>
      </c>
      <c r="R737" s="39" t="str">
        <f t="shared" si="90"/>
        <v/>
      </c>
    </row>
    <row r="738" spans="6:18" x14ac:dyDescent="0.25">
      <c r="F738" s="35">
        <v>732</v>
      </c>
      <c r="L738" s="33" t="str">
        <f t="shared" si="84"/>
        <v/>
      </c>
      <c r="M738" t="str">
        <f t="shared" si="85"/>
        <v/>
      </c>
      <c r="N738" s="33" t="str">
        <f t="shared" si="86"/>
        <v/>
      </c>
      <c r="O738" s="33" t="str">
        <f t="shared" si="87"/>
        <v/>
      </c>
      <c r="P738" t="str">
        <f t="shared" si="88"/>
        <v/>
      </c>
      <c r="Q738" s="33" t="str">
        <f t="shared" si="89"/>
        <v/>
      </c>
      <c r="R738" s="39" t="str">
        <f t="shared" si="90"/>
        <v/>
      </c>
    </row>
    <row r="739" spans="6:18" x14ac:dyDescent="0.25">
      <c r="F739" s="35">
        <v>733</v>
      </c>
      <c r="L739" s="33" t="str">
        <f t="shared" si="84"/>
        <v/>
      </c>
      <c r="M739" t="str">
        <f t="shared" si="85"/>
        <v/>
      </c>
      <c r="N739" s="33" t="str">
        <f t="shared" si="86"/>
        <v/>
      </c>
      <c r="O739" s="33" t="str">
        <f t="shared" si="87"/>
        <v/>
      </c>
      <c r="P739" t="str">
        <f t="shared" si="88"/>
        <v/>
      </c>
      <c r="Q739" s="33" t="str">
        <f t="shared" si="89"/>
        <v/>
      </c>
      <c r="R739" s="39" t="str">
        <f t="shared" si="90"/>
        <v/>
      </c>
    </row>
    <row r="740" spans="6:18" x14ac:dyDescent="0.25">
      <c r="F740" s="35">
        <v>734</v>
      </c>
      <c r="L740" s="33" t="str">
        <f t="shared" si="84"/>
        <v/>
      </c>
      <c r="M740" t="str">
        <f t="shared" si="85"/>
        <v/>
      </c>
      <c r="N740" s="33" t="str">
        <f t="shared" si="86"/>
        <v/>
      </c>
      <c r="O740" s="33" t="str">
        <f t="shared" si="87"/>
        <v/>
      </c>
      <c r="P740" t="str">
        <f t="shared" si="88"/>
        <v/>
      </c>
      <c r="Q740" s="33" t="str">
        <f t="shared" si="89"/>
        <v/>
      </c>
      <c r="R740" s="39" t="str">
        <f t="shared" si="90"/>
        <v/>
      </c>
    </row>
    <row r="741" spans="6:18" x14ac:dyDescent="0.25">
      <c r="F741" s="35">
        <v>735</v>
      </c>
      <c r="L741" s="33" t="str">
        <f t="shared" si="84"/>
        <v/>
      </c>
      <c r="M741" t="str">
        <f t="shared" si="85"/>
        <v/>
      </c>
      <c r="N741" s="33" t="str">
        <f t="shared" si="86"/>
        <v/>
      </c>
      <c r="O741" s="33" t="str">
        <f t="shared" si="87"/>
        <v/>
      </c>
      <c r="P741" t="str">
        <f t="shared" si="88"/>
        <v/>
      </c>
      <c r="Q741" s="33" t="str">
        <f t="shared" si="89"/>
        <v/>
      </c>
      <c r="R741" s="39" t="str">
        <f t="shared" si="90"/>
        <v/>
      </c>
    </row>
    <row r="742" spans="6:18" x14ac:dyDescent="0.25">
      <c r="F742" s="35">
        <v>736</v>
      </c>
      <c r="L742" s="33" t="str">
        <f t="shared" si="84"/>
        <v/>
      </c>
      <c r="M742" t="str">
        <f t="shared" si="85"/>
        <v/>
      </c>
      <c r="N742" s="33" t="str">
        <f t="shared" si="86"/>
        <v/>
      </c>
      <c r="O742" s="33" t="str">
        <f t="shared" si="87"/>
        <v/>
      </c>
      <c r="P742" t="str">
        <f t="shared" si="88"/>
        <v/>
      </c>
      <c r="Q742" s="33" t="str">
        <f t="shared" si="89"/>
        <v/>
      </c>
      <c r="R742" s="39" t="str">
        <f t="shared" si="90"/>
        <v/>
      </c>
    </row>
    <row r="743" spans="6:18" x14ac:dyDescent="0.25">
      <c r="F743" s="35">
        <v>737</v>
      </c>
      <c r="L743" s="33" t="str">
        <f t="shared" si="84"/>
        <v/>
      </c>
      <c r="M743" t="str">
        <f t="shared" si="85"/>
        <v/>
      </c>
      <c r="N743" s="33" t="str">
        <f t="shared" si="86"/>
        <v/>
      </c>
      <c r="O743" s="33" t="str">
        <f t="shared" si="87"/>
        <v/>
      </c>
      <c r="P743" t="str">
        <f t="shared" si="88"/>
        <v/>
      </c>
      <c r="Q743" s="33" t="str">
        <f t="shared" si="89"/>
        <v/>
      </c>
      <c r="R743" s="39" t="str">
        <f t="shared" si="90"/>
        <v/>
      </c>
    </row>
    <row r="744" spans="6:18" x14ac:dyDescent="0.25">
      <c r="F744" s="35">
        <v>738</v>
      </c>
      <c r="L744" s="33" t="str">
        <f t="shared" si="84"/>
        <v/>
      </c>
      <c r="M744" t="str">
        <f t="shared" si="85"/>
        <v/>
      </c>
      <c r="N744" s="33" t="str">
        <f t="shared" si="86"/>
        <v/>
      </c>
      <c r="O744" s="33" t="str">
        <f t="shared" si="87"/>
        <v/>
      </c>
      <c r="P744" t="str">
        <f t="shared" si="88"/>
        <v/>
      </c>
      <c r="Q744" s="33" t="str">
        <f t="shared" si="89"/>
        <v/>
      </c>
      <c r="R744" s="39" t="str">
        <f t="shared" si="90"/>
        <v/>
      </c>
    </row>
    <row r="745" spans="6:18" x14ac:dyDescent="0.25">
      <c r="F745" s="35">
        <v>739</v>
      </c>
      <c r="L745" s="33" t="str">
        <f t="shared" si="84"/>
        <v/>
      </c>
      <c r="M745" t="str">
        <f t="shared" si="85"/>
        <v/>
      </c>
      <c r="N745" s="33" t="str">
        <f t="shared" si="86"/>
        <v/>
      </c>
      <c r="O745" s="33" t="str">
        <f t="shared" si="87"/>
        <v/>
      </c>
      <c r="P745" t="str">
        <f t="shared" si="88"/>
        <v/>
      </c>
      <c r="Q745" s="33" t="str">
        <f t="shared" si="89"/>
        <v/>
      </c>
      <c r="R745" s="39" t="str">
        <f t="shared" si="90"/>
        <v/>
      </c>
    </row>
    <row r="746" spans="6:18" x14ac:dyDescent="0.25">
      <c r="F746" s="35">
        <v>740</v>
      </c>
      <c r="L746" s="33" t="str">
        <f t="shared" si="84"/>
        <v/>
      </c>
      <c r="M746" t="str">
        <f t="shared" si="85"/>
        <v/>
      </c>
      <c r="N746" s="33" t="str">
        <f t="shared" si="86"/>
        <v/>
      </c>
      <c r="O746" s="33" t="str">
        <f t="shared" si="87"/>
        <v/>
      </c>
      <c r="P746" t="str">
        <f t="shared" si="88"/>
        <v/>
      </c>
      <c r="Q746" s="33" t="str">
        <f t="shared" si="89"/>
        <v/>
      </c>
      <c r="R746" s="39" t="str">
        <f t="shared" si="90"/>
        <v/>
      </c>
    </row>
    <row r="747" spans="6:18" x14ac:dyDescent="0.25">
      <c r="F747" s="35">
        <v>741</v>
      </c>
      <c r="L747" s="33" t="str">
        <f t="shared" si="84"/>
        <v/>
      </c>
      <c r="M747" t="str">
        <f t="shared" si="85"/>
        <v/>
      </c>
      <c r="N747" s="33" t="str">
        <f t="shared" si="86"/>
        <v/>
      </c>
      <c r="O747" s="33" t="str">
        <f t="shared" si="87"/>
        <v/>
      </c>
      <c r="P747" t="str">
        <f t="shared" si="88"/>
        <v/>
      </c>
      <c r="Q747" s="33" t="str">
        <f t="shared" si="89"/>
        <v/>
      </c>
      <c r="R747" s="39" t="str">
        <f t="shared" si="90"/>
        <v/>
      </c>
    </row>
    <row r="748" spans="6:18" x14ac:dyDescent="0.25">
      <c r="F748" s="35">
        <v>742</v>
      </c>
      <c r="L748" s="33" t="str">
        <f t="shared" si="84"/>
        <v/>
      </c>
      <c r="M748" t="str">
        <f t="shared" si="85"/>
        <v/>
      </c>
      <c r="N748" s="33" t="str">
        <f t="shared" si="86"/>
        <v/>
      </c>
      <c r="O748" s="33" t="str">
        <f t="shared" si="87"/>
        <v/>
      </c>
      <c r="P748" t="str">
        <f t="shared" si="88"/>
        <v/>
      </c>
      <c r="Q748" s="33" t="str">
        <f t="shared" si="89"/>
        <v/>
      </c>
      <c r="R748" s="39" t="str">
        <f t="shared" si="90"/>
        <v/>
      </c>
    </row>
    <row r="749" spans="6:18" x14ac:dyDescent="0.25">
      <c r="F749" s="35">
        <v>743</v>
      </c>
      <c r="L749" s="33" t="str">
        <f t="shared" si="84"/>
        <v/>
      </c>
      <c r="M749" t="str">
        <f t="shared" si="85"/>
        <v/>
      </c>
      <c r="N749" s="33" t="str">
        <f t="shared" si="86"/>
        <v/>
      </c>
      <c r="O749" s="33" t="str">
        <f t="shared" si="87"/>
        <v/>
      </c>
      <c r="P749" t="str">
        <f t="shared" si="88"/>
        <v/>
      </c>
      <c r="Q749" s="33" t="str">
        <f t="shared" si="89"/>
        <v/>
      </c>
      <c r="R749" s="39" t="str">
        <f t="shared" si="90"/>
        <v/>
      </c>
    </row>
    <row r="750" spans="6:18" x14ac:dyDescent="0.25">
      <c r="F750" s="35">
        <v>744</v>
      </c>
      <c r="L750" s="33" t="str">
        <f t="shared" si="84"/>
        <v/>
      </c>
      <c r="M750" t="str">
        <f t="shared" si="85"/>
        <v/>
      </c>
      <c r="N750" s="33" t="str">
        <f t="shared" si="86"/>
        <v/>
      </c>
      <c r="O750" s="33" t="str">
        <f t="shared" si="87"/>
        <v/>
      </c>
      <c r="P750" t="str">
        <f t="shared" si="88"/>
        <v/>
      </c>
      <c r="Q750" s="33" t="str">
        <f t="shared" si="89"/>
        <v/>
      </c>
      <c r="R750" s="39" t="str">
        <f t="shared" si="90"/>
        <v/>
      </c>
    </row>
    <row r="751" spans="6:18" x14ac:dyDescent="0.25">
      <c r="F751" s="35">
        <v>745</v>
      </c>
      <c r="L751" s="33" t="str">
        <f t="shared" si="84"/>
        <v/>
      </c>
      <c r="M751" t="str">
        <f t="shared" si="85"/>
        <v/>
      </c>
      <c r="N751" s="33" t="str">
        <f t="shared" si="86"/>
        <v/>
      </c>
      <c r="O751" s="33" t="str">
        <f t="shared" si="87"/>
        <v/>
      </c>
      <c r="P751" t="str">
        <f t="shared" si="88"/>
        <v/>
      </c>
      <c r="Q751" s="33" t="str">
        <f t="shared" si="89"/>
        <v/>
      </c>
      <c r="R751" s="39" t="str">
        <f t="shared" si="90"/>
        <v/>
      </c>
    </row>
    <row r="752" spans="6:18" x14ac:dyDescent="0.25">
      <c r="F752" s="35">
        <v>746</v>
      </c>
      <c r="L752" s="33" t="str">
        <f t="shared" si="84"/>
        <v/>
      </c>
      <c r="M752" t="str">
        <f t="shared" si="85"/>
        <v/>
      </c>
      <c r="N752" s="33" t="str">
        <f t="shared" si="86"/>
        <v/>
      </c>
      <c r="O752" s="33" t="str">
        <f t="shared" si="87"/>
        <v/>
      </c>
      <c r="P752" t="str">
        <f t="shared" si="88"/>
        <v/>
      </c>
      <c r="Q752" s="33" t="str">
        <f t="shared" si="89"/>
        <v/>
      </c>
      <c r="R752" s="39" t="str">
        <f t="shared" si="90"/>
        <v/>
      </c>
    </row>
    <row r="753" spans="6:18" x14ac:dyDescent="0.25">
      <c r="F753" s="35">
        <v>747</v>
      </c>
      <c r="L753" s="33" t="str">
        <f t="shared" si="84"/>
        <v/>
      </c>
      <c r="M753" t="str">
        <f t="shared" si="85"/>
        <v/>
      </c>
      <c r="N753" s="33" t="str">
        <f t="shared" si="86"/>
        <v/>
      </c>
      <c r="O753" s="33" t="str">
        <f t="shared" si="87"/>
        <v/>
      </c>
      <c r="P753" t="str">
        <f t="shared" si="88"/>
        <v/>
      </c>
      <c r="Q753" s="33" t="str">
        <f t="shared" si="89"/>
        <v/>
      </c>
      <c r="R753" s="39" t="str">
        <f t="shared" si="90"/>
        <v/>
      </c>
    </row>
    <row r="754" spans="6:18" x14ac:dyDescent="0.25">
      <c r="F754" s="35">
        <v>748</v>
      </c>
      <c r="L754" s="33" t="str">
        <f t="shared" si="84"/>
        <v/>
      </c>
      <c r="M754" t="str">
        <f t="shared" si="85"/>
        <v/>
      </c>
      <c r="N754" s="33" t="str">
        <f t="shared" si="86"/>
        <v/>
      </c>
      <c r="O754" s="33" t="str">
        <f t="shared" si="87"/>
        <v/>
      </c>
      <c r="P754" t="str">
        <f t="shared" si="88"/>
        <v/>
      </c>
      <c r="Q754" s="33" t="str">
        <f t="shared" si="89"/>
        <v/>
      </c>
      <c r="R754" s="39" t="str">
        <f t="shared" si="90"/>
        <v/>
      </c>
    </row>
    <row r="755" spans="6:18" x14ac:dyDescent="0.25">
      <c r="F755" s="35">
        <v>749</v>
      </c>
      <c r="L755" s="33" t="str">
        <f t="shared" si="84"/>
        <v/>
      </c>
      <c r="M755" t="str">
        <f t="shared" si="85"/>
        <v/>
      </c>
      <c r="N755" s="33" t="str">
        <f t="shared" si="86"/>
        <v/>
      </c>
      <c r="O755" s="33" t="str">
        <f t="shared" si="87"/>
        <v/>
      </c>
      <c r="P755" t="str">
        <f t="shared" si="88"/>
        <v/>
      </c>
      <c r="Q755" s="33" t="str">
        <f t="shared" si="89"/>
        <v/>
      </c>
      <c r="R755" s="39" t="str">
        <f t="shared" si="90"/>
        <v/>
      </c>
    </row>
    <row r="756" spans="6:18" x14ac:dyDescent="0.25">
      <c r="F756" s="35">
        <v>750</v>
      </c>
      <c r="L756" s="33" t="str">
        <f t="shared" si="84"/>
        <v/>
      </c>
      <c r="M756" t="str">
        <f t="shared" si="85"/>
        <v/>
      </c>
      <c r="N756" s="33" t="str">
        <f t="shared" si="86"/>
        <v/>
      </c>
      <c r="O756" s="33" t="str">
        <f t="shared" si="87"/>
        <v/>
      </c>
      <c r="P756" t="str">
        <f t="shared" si="88"/>
        <v/>
      </c>
      <c r="Q756" s="33" t="str">
        <f t="shared" si="89"/>
        <v/>
      </c>
      <c r="R756" s="39" t="str">
        <f t="shared" si="90"/>
        <v/>
      </c>
    </row>
    <row r="757" spans="6:18" x14ac:dyDescent="0.25">
      <c r="F757" s="35">
        <v>751</v>
      </c>
      <c r="L757" s="33" t="str">
        <f t="shared" si="84"/>
        <v/>
      </c>
      <c r="M757" t="str">
        <f t="shared" si="85"/>
        <v/>
      </c>
      <c r="N757" s="33" t="str">
        <f t="shared" si="86"/>
        <v/>
      </c>
      <c r="O757" s="33" t="str">
        <f t="shared" si="87"/>
        <v/>
      </c>
      <c r="P757" t="str">
        <f t="shared" si="88"/>
        <v/>
      </c>
      <c r="Q757" s="33" t="str">
        <f t="shared" si="89"/>
        <v/>
      </c>
      <c r="R757" s="39" t="str">
        <f t="shared" si="90"/>
        <v/>
      </c>
    </row>
    <row r="758" spans="6:18" x14ac:dyDescent="0.25">
      <c r="F758" s="35">
        <v>752</v>
      </c>
      <c r="L758" s="33" t="str">
        <f t="shared" si="84"/>
        <v/>
      </c>
      <c r="M758" t="str">
        <f t="shared" si="85"/>
        <v/>
      </c>
      <c r="N758" s="33" t="str">
        <f t="shared" si="86"/>
        <v/>
      </c>
      <c r="O758" s="33" t="str">
        <f t="shared" si="87"/>
        <v/>
      </c>
      <c r="P758" t="str">
        <f t="shared" si="88"/>
        <v/>
      </c>
      <c r="Q758" s="33" t="str">
        <f t="shared" si="89"/>
        <v/>
      </c>
      <c r="R758" s="39" t="str">
        <f t="shared" si="90"/>
        <v/>
      </c>
    </row>
    <row r="759" spans="6:18" x14ac:dyDescent="0.25">
      <c r="F759" s="35">
        <v>753</v>
      </c>
      <c r="L759" s="33" t="str">
        <f t="shared" si="84"/>
        <v/>
      </c>
      <c r="M759" t="str">
        <f t="shared" si="85"/>
        <v/>
      </c>
      <c r="N759" s="33" t="str">
        <f t="shared" si="86"/>
        <v/>
      </c>
      <c r="O759" s="33" t="str">
        <f t="shared" si="87"/>
        <v/>
      </c>
      <c r="P759" t="str">
        <f t="shared" si="88"/>
        <v/>
      </c>
      <c r="Q759" s="33" t="str">
        <f t="shared" si="89"/>
        <v/>
      </c>
      <c r="R759" s="39" t="str">
        <f t="shared" si="90"/>
        <v/>
      </c>
    </row>
    <row r="760" spans="6:18" x14ac:dyDescent="0.25">
      <c r="F760" s="35">
        <v>754</v>
      </c>
      <c r="L760" s="33" t="str">
        <f t="shared" si="84"/>
        <v/>
      </c>
      <c r="M760" t="str">
        <f t="shared" si="85"/>
        <v/>
      </c>
      <c r="N760" s="33" t="str">
        <f t="shared" si="86"/>
        <v/>
      </c>
      <c r="O760" s="33" t="str">
        <f t="shared" si="87"/>
        <v/>
      </c>
      <c r="P760" t="str">
        <f t="shared" si="88"/>
        <v/>
      </c>
      <c r="Q760" s="33" t="str">
        <f t="shared" si="89"/>
        <v/>
      </c>
      <c r="R760" s="39" t="str">
        <f t="shared" si="90"/>
        <v/>
      </c>
    </row>
    <row r="761" spans="6:18" x14ac:dyDescent="0.25">
      <c r="F761" s="35">
        <v>755</v>
      </c>
      <c r="L761" s="33" t="str">
        <f t="shared" si="84"/>
        <v/>
      </c>
      <c r="M761" t="str">
        <f t="shared" si="85"/>
        <v/>
      </c>
      <c r="N761" s="33" t="str">
        <f t="shared" si="86"/>
        <v/>
      </c>
      <c r="O761" s="33" t="str">
        <f t="shared" si="87"/>
        <v/>
      </c>
      <c r="P761" t="str">
        <f t="shared" si="88"/>
        <v/>
      </c>
      <c r="Q761" s="33" t="str">
        <f t="shared" si="89"/>
        <v/>
      </c>
      <c r="R761" s="39" t="str">
        <f t="shared" si="90"/>
        <v/>
      </c>
    </row>
    <row r="762" spans="6:18" x14ac:dyDescent="0.25">
      <c r="F762" s="35">
        <v>756</v>
      </c>
      <c r="L762" s="33" t="str">
        <f t="shared" si="84"/>
        <v/>
      </c>
      <c r="M762" t="str">
        <f t="shared" si="85"/>
        <v/>
      </c>
      <c r="N762" s="33" t="str">
        <f t="shared" si="86"/>
        <v/>
      </c>
      <c r="O762" s="33" t="str">
        <f t="shared" si="87"/>
        <v/>
      </c>
      <c r="P762" t="str">
        <f t="shared" si="88"/>
        <v/>
      </c>
      <c r="Q762" s="33" t="str">
        <f t="shared" si="89"/>
        <v/>
      </c>
      <c r="R762" s="39" t="str">
        <f t="shared" si="90"/>
        <v/>
      </c>
    </row>
    <row r="763" spans="6:18" x14ac:dyDescent="0.25">
      <c r="F763" s="35">
        <v>757</v>
      </c>
      <c r="L763" s="33" t="str">
        <f t="shared" si="84"/>
        <v/>
      </c>
      <c r="M763" t="str">
        <f t="shared" si="85"/>
        <v/>
      </c>
      <c r="N763" s="33" t="str">
        <f t="shared" si="86"/>
        <v/>
      </c>
      <c r="O763" s="33" t="str">
        <f t="shared" si="87"/>
        <v/>
      </c>
      <c r="P763" t="str">
        <f t="shared" si="88"/>
        <v/>
      </c>
      <c r="Q763" s="33" t="str">
        <f t="shared" si="89"/>
        <v/>
      </c>
      <c r="R763" s="39" t="str">
        <f t="shared" si="90"/>
        <v/>
      </c>
    </row>
    <row r="764" spans="6:18" x14ac:dyDescent="0.25">
      <c r="F764" s="35">
        <v>758</v>
      </c>
      <c r="L764" s="33" t="str">
        <f t="shared" si="84"/>
        <v/>
      </c>
      <c r="M764" t="str">
        <f t="shared" si="85"/>
        <v/>
      </c>
      <c r="N764" s="33" t="str">
        <f t="shared" si="86"/>
        <v/>
      </c>
      <c r="O764" s="33" t="str">
        <f t="shared" si="87"/>
        <v/>
      </c>
      <c r="P764" t="str">
        <f t="shared" si="88"/>
        <v/>
      </c>
      <c r="Q764" s="33" t="str">
        <f t="shared" si="89"/>
        <v/>
      </c>
      <c r="R764" s="39" t="str">
        <f t="shared" si="90"/>
        <v/>
      </c>
    </row>
    <row r="765" spans="6:18" x14ac:dyDescent="0.25">
      <c r="F765" s="35">
        <v>759</v>
      </c>
      <c r="L765" s="33" t="str">
        <f t="shared" si="84"/>
        <v/>
      </c>
      <c r="M765" t="str">
        <f t="shared" si="85"/>
        <v/>
      </c>
      <c r="N765" s="33" t="str">
        <f t="shared" si="86"/>
        <v/>
      </c>
      <c r="O765" s="33" t="str">
        <f t="shared" si="87"/>
        <v/>
      </c>
      <c r="P765" t="str">
        <f t="shared" si="88"/>
        <v/>
      </c>
      <c r="Q765" s="33" t="str">
        <f t="shared" si="89"/>
        <v/>
      </c>
      <c r="R765" s="39" t="str">
        <f t="shared" si="90"/>
        <v/>
      </c>
    </row>
    <row r="766" spans="6:18" x14ac:dyDescent="0.25">
      <c r="F766" s="35">
        <v>760</v>
      </c>
      <c r="L766" s="33" t="str">
        <f t="shared" si="84"/>
        <v/>
      </c>
      <c r="M766" t="str">
        <f t="shared" si="85"/>
        <v/>
      </c>
      <c r="N766" s="33" t="str">
        <f t="shared" si="86"/>
        <v/>
      </c>
      <c r="O766" s="33" t="str">
        <f t="shared" si="87"/>
        <v/>
      </c>
      <c r="P766" t="str">
        <f t="shared" si="88"/>
        <v/>
      </c>
      <c r="Q766" s="33" t="str">
        <f t="shared" si="89"/>
        <v/>
      </c>
      <c r="R766" s="39" t="str">
        <f t="shared" si="90"/>
        <v/>
      </c>
    </row>
    <row r="767" spans="6:18" x14ac:dyDescent="0.25">
      <c r="F767" s="35">
        <v>761</v>
      </c>
      <c r="L767" s="33" t="str">
        <f t="shared" si="84"/>
        <v/>
      </c>
      <c r="M767" t="str">
        <f t="shared" si="85"/>
        <v/>
      </c>
      <c r="N767" s="33" t="str">
        <f t="shared" si="86"/>
        <v/>
      </c>
      <c r="O767" s="33" t="str">
        <f t="shared" si="87"/>
        <v/>
      </c>
      <c r="P767" t="str">
        <f t="shared" si="88"/>
        <v/>
      </c>
      <c r="Q767" s="33" t="str">
        <f t="shared" si="89"/>
        <v/>
      </c>
      <c r="R767" s="39" t="str">
        <f t="shared" si="90"/>
        <v/>
      </c>
    </row>
    <row r="768" spans="6:18" x14ac:dyDescent="0.25">
      <c r="F768" s="35">
        <v>762</v>
      </c>
      <c r="L768" s="33" t="str">
        <f t="shared" si="84"/>
        <v/>
      </c>
      <c r="M768" t="str">
        <f t="shared" si="85"/>
        <v/>
      </c>
      <c r="N768" s="33" t="str">
        <f t="shared" si="86"/>
        <v/>
      </c>
      <c r="O768" s="33" t="str">
        <f t="shared" si="87"/>
        <v/>
      </c>
      <c r="P768" t="str">
        <f t="shared" si="88"/>
        <v/>
      </c>
      <c r="Q768" s="33" t="str">
        <f t="shared" si="89"/>
        <v/>
      </c>
      <c r="R768" s="39" t="str">
        <f t="shared" si="90"/>
        <v/>
      </c>
    </row>
    <row r="769" spans="6:18" x14ac:dyDescent="0.25">
      <c r="F769" s="35">
        <v>763</v>
      </c>
      <c r="L769" s="33" t="str">
        <f t="shared" si="84"/>
        <v/>
      </c>
      <c r="M769" t="str">
        <f t="shared" si="85"/>
        <v/>
      </c>
      <c r="N769" s="33" t="str">
        <f t="shared" si="86"/>
        <v/>
      </c>
      <c r="O769" s="33" t="str">
        <f t="shared" si="87"/>
        <v/>
      </c>
      <c r="P769" t="str">
        <f t="shared" si="88"/>
        <v/>
      </c>
      <c r="Q769" s="33" t="str">
        <f t="shared" si="89"/>
        <v/>
      </c>
      <c r="R769" s="39" t="str">
        <f t="shared" si="90"/>
        <v/>
      </c>
    </row>
    <row r="770" spans="6:18" x14ac:dyDescent="0.25">
      <c r="F770" s="35">
        <v>764</v>
      </c>
      <c r="L770" s="33" t="str">
        <f t="shared" si="84"/>
        <v/>
      </c>
      <c r="M770" t="str">
        <f t="shared" si="85"/>
        <v/>
      </c>
      <c r="N770" s="33" t="str">
        <f t="shared" si="86"/>
        <v/>
      </c>
      <c r="O770" s="33" t="str">
        <f t="shared" si="87"/>
        <v/>
      </c>
      <c r="P770" t="str">
        <f t="shared" si="88"/>
        <v/>
      </c>
      <c r="Q770" s="33" t="str">
        <f t="shared" si="89"/>
        <v/>
      </c>
      <c r="R770" s="39" t="str">
        <f t="shared" si="90"/>
        <v/>
      </c>
    </row>
    <row r="771" spans="6:18" x14ac:dyDescent="0.25">
      <c r="F771" s="35">
        <v>765</v>
      </c>
      <c r="L771" s="33" t="str">
        <f t="shared" si="84"/>
        <v/>
      </c>
      <c r="M771" t="str">
        <f t="shared" si="85"/>
        <v/>
      </c>
      <c r="N771" s="33" t="str">
        <f t="shared" si="86"/>
        <v/>
      </c>
      <c r="O771" s="33" t="str">
        <f t="shared" si="87"/>
        <v/>
      </c>
      <c r="P771" t="str">
        <f t="shared" si="88"/>
        <v/>
      </c>
      <c r="Q771" s="33" t="str">
        <f t="shared" si="89"/>
        <v/>
      </c>
      <c r="R771" s="39" t="str">
        <f t="shared" si="90"/>
        <v/>
      </c>
    </row>
    <row r="772" spans="6:18" x14ac:dyDescent="0.25">
      <c r="F772" s="35">
        <v>766</v>
      </c>
      <c r="L772" s="33" t="str">
        <f t="shared" si="84"/>
        <v/>
      </c>
      <c r="M772" t="str">
        <f t="shared" si="85"/>
        <v/>
      </c>
      <c r="N772" s="33" t="str">
        <f t="shared" si="86"/>
        <v/>
      </c>
      <c r="O772" s="33" t="str">
        <f t="shared" si="87"/>
        <v/>
      </c>
      <c r="P772" t="str">
        <f t="shared" si="88"/>
        <v/>
      </c>
      <c r="Q772" s="33" t="str">
        <f t="shared" si="89"/>
        <v/>
      </c>
      <c r="R772" s="39" t="str">
        <f t="shared" si="90"/>
        <v/>
      </c>
    </row>
    <row r="773" spans="6:18" x14ac:dyDescent="0.25">
      <c r="F773" s="35">
        <v>767</v>
      </c>
      <c r="L773" s="33" t="str">
        <f t="shared" si="84"/>
        <v/>
      </c>
      <c r="M773" t="str">
        <f t="shared" si="85"/>
        <v/>
      </c>
      <c r="N773" s="33" t="str">
        <f t="shared" si="86"/>
        <v/>
      </c>
      <c r="O773" s="33" t="str">
        <f t="shared" si="87"/>
        <v/>
      </c>
      <c r="P773" t="str">
        <f t="shared" si="88"/>
        <v/>
      </c>
      <c r="Q773" s="33" t="str">
        <f t="shared" si="89"/>
        <v/>
      </c>
      <c r="R773" s="39" t="str">
        <f t="shared" si="90"/>
        <v/>
      </c>
    </row>
    <row r="774" spans="6:18" x14ac:dyDescent="0.25">
      <c r="F774" s="35">
        <v>768</v>
      </c>
      <c r="L774" s="33" t="str">
        <f t="shared" si="84"/>
        <v/>
      </c>
      <c r="M774" t="str">
        <f t="shared" si="85"/>
        <v/>
      </c>
      <c r="N774" s="33" t="str">
        <f t="shared" si="86"/>
        <v/>
      </c>
      <c r="O774" s="33" t="str">
        <f t="shared" si="87"/>
        <v/>
      </c>
      <c r="P774" t="str">
        <f t="shared" si="88"/>
        <v/>
      </c>
      <c r="Q774" s="33" t="str">
        <f t="shared" si="89"/>
        <v/>
      </c>
      <c r="R774" s="39" t="str">
        <f t="shared" si="90"/>
        <v/>
      </c>
    </row>
    <row r="775" spans="6:18" x14ac:dyDescent="0.25">
      <c r="F775" s="35">
        <v>769</v>
      </c>
      <c r="L775" s="33" t="str">
        <f t="shared" si="84"/>
        <v/>
      </c>
      <c r="M775" t="str">
        <f t="shared" si="85"/>
        <v/>
      </c>
      <c r="N775" s="33" t="str">
        <f t="shared" si="86"/>
        <v/>
      </c>
      <c r="O775" s="33" t="str">
        <f t="shared" si="87"/>
        <v/>
      </c>
      <c r="P775" t="str">
        <f t="shared" si="88"/>
        <v/>
      </c>
      <c r="Q775" s="33" t="str">
        <f t="shared" si="89"/>
        <v/>
      </c>
      <c r="R775" s="39" t="str">
        <f t="shared" si="90"/>
        <v/>
      </c>
    </row>
    <row r="776" spans="6:18" x14ac:dyDescent="0.25">
      <c r="F776" s="35">
        <v>770</v>
      </c>
      <c r="L776" s="33" t="str">
        <f t="shared" ref="L776:L839" si="91">IF(G776="","",$C$4*$C$6*$C$7/360)</f>
        <v/>
      </c>
      <c r="M776" t="str">
        <f t="shared" ref="M776:M839" si="92">IF(G776="","",IF(H776=$G$2,100,0))</f>
        <v/>
      </c>
      <c r="N776" s="33" t="str">
        <f t="shared" ref="N776:N839" si="93">IF(G776="","",L776+M776)</f>
        <v/>
      </c>
      <c r="O776" s="33" t="str">
        <f t="shared" ref="O776:O839" si="94">IF(G776="","",1/(1+$C$5*K776/360)^(J776/K776))</f>
        <v/>
      </c>
      <c r="P776" t="str">
        <f t="shared" ref="P776:P839" si="95">IF(G776="","",H776-$C$12)</f>
        <v/>
      </c>
      <c r="Q776" s="33" t="str">
        <f t="shared" ref="Q776:Q839" si="96">IF(G776="","",(P776/K776))</f>
        <v/>
      </c>
      <c r="R776" s="39" t="str">
        <f t="shared" ref="R776:R839" si="97">IF(G776="","",N776*O776)</f>
        <v/>
      </c>
    </row>
    <row r="777" spans="6:18" x14ac:dyDescent="0.25">
      <c r="F777" s="35">
        <v>771</v>
      </c>
      <c r="L777" s="33" t="str">
        <f t="shared" si="91"/>
        <v/>
      </c>
      <c r="M777" t="str">
        <f t="shared" si="92"/>
        <v/>
      </c>
      <c r="N777" s="33" t="str">
        <f t="shared" si="93"/>
        <v/>
      </c>
      <c r="O777" s="33" t="str">
        <f t="shared" si="94"/>
        <v/>
      </c>
      <c r="P777" t="str">
        <f t="shared" si="95"/>
        <v/>
      </c>
      <c r="Q777" s="33" t="str">
        <f t="shared" si="96"/>
        <v/>
      </c>
      <c r="R777" s="39" t="str">
        <f t="shared" si="97"/>
        <v/>
      </c>
    </row>
    <row r="778" spans="6:18" x14ac:dyDescent="0.25">
      <c r="F778" s="35">
        <v>772</v>
      </c>
      <c r="L778" s="33" t="str">
        <f t="shared" si="91"/>
        <v/>
      </c>
      <c r="M778" t="str">
        <f t="shared" si="92"/>
        <v/>
      </c>
      <c r="N778" s="33" t="str">
        <f t="shared" si="93"/>
        <v/>
      </c>
      <c r="O778" s="33" t="str">
        <f t="shared" si="94"/>
        <v/>
      </c>
      <c r="P778" t="str">
        <f t="shared" si="95"/>
        <v/>
      </c>
      <c r="Q778" s="33" t="str">
        <f t="shared" si="96"/>
        <v/>
      </c>
      <c r="R778" s="39" t="str">
        <f t="shared" si="97"/>
        <v/>
      </c>
    </row>
    <row r="779" spans="6:18" x14ac:dyDescent="0.25">
      <c r="F779" s="35">
        <v>773</v>
      </c>
      <c r="L779" s="33" t="str">
        <f t="shared" si="91"/>
        <v/>
      </c>
      <c r="M779" t="str">
        <f t="shared" si="92"/>
        <v/>
      </c>
      <c r="N779" s="33" t="str">
        <f t="shared" si="93"/>
        <v/>
      </c>
      <c r="O779" s="33" t="str">
        <f t="shared" si="94"/>
        <v/>
      </c>
      <c r="P779" t="str">
        <f t="shared" si="95"/>
        <v/>
      </c>
      <c r="Q779" s="33" t="str">
        <f t="shared" si="96"/>
        <v/>
      </c>
      <c r="R779" s="39" t="str">
        <f t="shared" si="97"/>
        <v/>
      </c>
    </row>
    <row r="780" spans="6:18" x14ac:dyDescent="0.25">
      <c r="F780" s="35">
        <v>774</v>
      </c>
      <c r="L780" s="33" t="str">
        <f t="shared" si="91"/>
        <v/>
      </c>
      <c r="M780" t="str">
        <f t="shared" si="92"/>
        <v/>
      </c>
      <c r="N780" s="33" t="str">
        <f t="shared" si="93"/>
        <v/>
      </c>
      <c r="O780" s="33" t="str">
        <f t="shared" si="94"/>
        <v/>
      </c>
      <c r="P780" t="str">
        <f t="shared" si="95"/>
        <v/>
      </c>
      <c r="Q780" s="33" t="str">
        <f t="shared" si="96"/>
        <v/>
      </c>
      <c r="R780" s="39" t="str">
        <f t="shared" si="97"/>
        <v/>
      </c>
    </row>
    <row r="781" spans="6:18" x14ac:dyDescent="0.25">
      <c r="F781" s="35">
        <v>775</v>
      </c>
      <c r="L781" s="33" t="str">
        <f t="shared" si="91"/>
        <v/>
      </c>
      <c r="M781" t="str">
        <f t="shared" si="92"/>
        <v/>
      </c>
      <c r="N781" s="33" t="str">
        <f t="shared" si="93"/>
        <v/>
      </c>
      <c r="O781" s="33" t="str">
        <f t="shared" si="94"/>
        <v/>
      </c>
      <c r="P781" t="str">
        <f t="shared" si="95"/>
        <v/>
      </c>
      <c r="Q781" s="33" t="str">
        <f t="shared" si="96"/>
        <v/>
      </c>
      <c r="R781" s="39" t="str">
        <f t="shared" si="97"/>
        <v/>
      </c>
    </row>
    <row r="782" spans="6:18" x14ac:dyDescent="0.25">
      <c r="F782" s="35">
        <v>776</v>
      </c>
      <c r="L782" s="33" t="str">
        <f t="shared" si="91"/>
        <v/>
      </c>
      <c r="M782" t="str">
        <f t="shared" si="92"/>
        <v/>
      </c>
      <c r="N782" s="33" t="str">
        <f t="shared" si="93"/>
        <v/>
      </c>
      <c r="O782" s="33" t="str">
        <f t="shared" si="94"/>
        <v/>
      </c>
      <c r="P782" t="str">
        <f t="shared" si="95"/>
        <v/>
      </c>
      <c r="Q782" s="33" t="str">
        <f t="shared" si="96"/>
        <v/>
      </c>
      <c r="R782" s="39" t="str">
        <f t="shared" si="97"/>
        <v/>
      </c>
    </row>
    <row r="783" spans="6:18" x14ac:dyDescent="0.25">
      <c r="F783" s="35">
        <v>777</v>
      </c>
      <c r="L783" s="33" t="str">
        <f t="shared" si="91"/>
        <v/>
      </c>
      <c r="M783" t="str">
        <f t="shared" si="92"/>
        <v/>
      </c>
      <c r="N783" s="33" t="str">
        <f t="shared" si="93"/>
        <v/>
      </c>
      <c r="O783" s="33" t="str">
        <f t="shared" si="94"/>
        <v/>
      </c>
      <c r="P783" t="str">
        <f t="shared" si="95"/>
        <v/>
      </c>
      <c r="Q783" s="33" t="str">
        <f t="shared" si="96"/>
        <v/>
      </c>
      <c r="R783" s="39" t="str">
        <f t="shared" si="97"/>
        <v/>
      </c>
    </row>
    <row r="784" spans="6:18" x14ac:dyDescent="0.25">
      <c r="F784" s="35">
        <v>778</v>
      </c>
      <c r="L784" s="33" t="str">
        <f t="shared" si="91"/>
        <v/>
      </c>
      <c r="M784" t="str">
        <f t="shared" si="92"/>
        <v/>
      </c>
      <c r="N784" s="33" t="str">
        <f t="shared" si="93"/>
        <v/>
      </c>
      <c r="O784" s="33" t="str">
        <f t="shared" si="94"/>
        <v/>
      </c>
      <c r="P784" t="str">
        <f t="shared" si="95"/>
        <v/>
      </c>
      <c r="Q784" s="33" t="str">
        <f t="shared" si="96"/>
        <v/>
      </c>
      <c r="R784" s="39" t="str">
        <f t="shared" si="97"/>
        <v/>
      </c>
    </row>
    <row r="785" spans="6:18" x14ac:dyDescent="0.25">
      <c r="F785" s="35">
        <v>779</v>
      </c>
      <c r="L785" s="33" t="str">
        <f t="shared" si="91"/>
        <v/>
      </c>
      <c r="M785" t="str">
        <f t="shared" si="92"/>
        <v/>
      </c>
      <c r="N785" s="33" t="str">
        <f t="shared" si="93"/>
        <v/>
      </c>
      <c r="O785" s="33" t="str">
        <f t="shared" si="94"/>
        <v/>
      </c>
      <c r="P785" t="str">
        <f t="shared" si="95"/>
        <v/>
      </c>
      <c r="Q785" s="33" t="str">
        <f t="shared" si="96"/>
        <v/>
      </c>
      <c r="R785" s="39" t="str">
        <f t="shared" si="97"/>
        <v/>
      </c>
    </row>
    <row r="786" spans="6:18" x14ac:dyDescent="0.25">
      <c r="F786" s="35">
        <v>780</v>
      </c>
      <c r="L786" s="33" t="str">
        <f t="shared" si="91"/>
        <v/>
      </c>
      <c r="M786" t="str">
        <f t="shared" si="92"/>
        <v/>
      </c>
      <c r="N786" s="33" t="str">
        <f t="shared" si="93"/>
        <v/>
      </c>
      <c r="O786" s="33" t="str">
        <f t="shared" si="94"/>
        <v/>
      </c>
      <c r="P786" t="str">
        <f t="shared" si="95"/>
        <v/>
      </c>
      <c r="Q786" s="33" t="str">
        <f t="shared" si="96"/>
        <v/>
      </c>
      <c r="R786" s="39" t="str">
        <f t="shared" si="97"/>
        <v/>
      </c>
    </row>
    <row r="787" spans="6:18" x14ac:dyDescent="0.25">
      <c r="F787" s="35">
        <v>781</v>
      </c>
      <c r="L787" s="33" t="str">
        <f t="shared" si="91"/>
        <v/>
      </c>
      <c r="M787" t="str">
        <f t="shared" si="92"/>
        <v/>
      </c>
      <c r="N787" s="33" t="str">
        <f t="shared" si="93"/>
        <v/>
      </c>
      <c r="O787" s="33" t="str">
        <f t="shared" si="94"/>
        <v/>
      </c>
      <c r="P787" t="str">
        <f t="shared" si="95"/>
        <v/>
      </c>
      <c r="Q787" s="33" t="str">
        <f t="shared" si="96"/>
        <v/>
      </c>
      <c r="R787" s="39" t="str">
        <f t="shared" si="97"/>
        <v/>
      </c>
    </row>
    <row r="788" spans="6:18" x14ac:dyDescent="0.25">
      <c r="F788" s="35">
        <v>782</v>
      </c>
      <c r="L788" s="33" t="str">
        <f t="shared" si="91"/>
        <v/>
      </c>
      <c r="M788" t="str">
        <f t="shared" si="92"/>
        <v/>
      </c>
      <c r="N788" s="33" t="str">
        <f t="shared" si="93"/>
        <v/>
      </c>
      <c r="O788" s="33" t="str">
        <f t="shared" si="94"/>
        <v/>
      </c>
      <c r="P788" t="str">
        <f t="shared" si="95"/>
        <v/>
      </c>
      <c r="Q788" s="33" t="str">
        <f t="shared" si="96"/>
        <v/>
      </c>
      <c r="R788" s="39" t="str">
        <f t="shared" si="97"/>
        <v/>
      </c>
    </row>
    <row r="789" spans="6:18" x14ac:dyDescent="0.25">
      <c r="F789" s="35">
        <v>783</v>
      </c>
      <c r="L789" s="33" t="str">
        <f t="shared" si="91"/>
        <v/>
      </c>
      <c r="M789" t="str">
        <f t="shared" si="92"/>
        <v/>
      </c>
      <c r="N789" s="33" t="str">
        <f t="shared" si="93"/>
        <v/>
      </c>
      <c r="O789" s="33" t="str">
        <f t="shared" si="94"/>
        <v/>
      </c>
      <c r="P789" t="str">
        <f t="shared" si="95"/>
        <v/>
      </c>
      <c r="Q789" s="33" t="str">
        <f t="shared" si="96"/>
        <v/>
      </c>
      <c r="R789" s="39" t="str">
        <f t="shared" si="97"/>
        <v/>
      </c>
    </row>
    <row r="790" spans="6:18" x14ac:dyDescent="0.25">
      <c r="F790" s="35">
        <v>784</v>
      </c>
      <c r="L790" s="33" t="str">
        <f t="shared" si="91"/>
        <v/>
      </c>
      <c r="M790" t="str">
        <f t="shared" si="92"/>
        <v/>
      </c>
      <c r="N790" s="33" t="str">
        <f t="shared" si="93"/>
        <v/>
      </c>
      <c r="O790" s="33" t="str">
        <f t="shared" si="94"/>
        <v/>
      </c>
      <c r="P790" t="str">
        <f t="shared" si="95"/>
        <v/>
      </c>
      <c r="Q790" s="33" t="str">
        <f t="shared" si="96"/>
        <v/>
      </c>
      <c r="R790" s="39" t="str">
        <f t="shared" si="97"/>
        <v/>
      </c>
    </row>
    <row r="791" spans="6:18" x14ac:dyDescent="0.25">
      <c r="F791" s="35">
        <v>785</v>
      </c>
      <c r="L791" s="33" t="str">
        <f t="shared" si="91"/>
        <v/>
      </c>
      <c r="M791" t="str">
        <f t="shared" si="92"/>
        <v/>
      </c>
      <c r="N791" s="33" t="str">
        <f t="shared" si="93"/>
        <v/>
      </c>
      <c r="O791" s="33" t="str">
        <f t="shared" si="94"/>
        <v/>
      </c>
      <c r="P791" t="str">
        <f t="shared" si="95"/>
        <v/>
      </c>
      <c r="Q791" s="33" t="str">
        <f t="shared" si="96"/>
        <v/>
      </c>
      <c r="R791" s="39" t="str">
        <f t="shared" si="97"/>
        <v/>
      </c>
    </row>
    <row r="792" spans="6:18" x14ac:dyDescent="0.25">
      <c r="F792" s="35">
        <v>786</v>
      </c>
      <c r="L792" s="33" t="str">
        <f t="shared" si="91"/>
        <v/>
      </c>
      <c r="M792" t="str">
        <f t="shared" si="92"/>
        <v/>
      </c>
      <c r="N792" s="33" t="str">
        <f t="shared" si="93"/>
        <v/>
      </c>
      <c r="O792" s="33" t="str">
        <f t="shared" si="94"/>
        <v/>
      </c>
      <c r="P792" t="str">
        <f t="shared" si="95"/>
        <v/>
      </c>
      <c r="Q792" s="33" t="str">
        <f t="shared" si="96"/>
        <v/>
      </c>
      <c r="R792" s="39" t="str">
        <f t="shared" si="97"/>
        <v/>
      </c>
    </row>
    <row r="793" spans="6:18" x14ac:dyDescent="0.25">
      <c r="F793" s="35">
        <v>787</v>
      </c>
      <c r="L793" s="33" t="str">
        <f t="shared" si="91"/>
        <v/>
      </c>
      <c r="M793" t="str">
        <f t="shared" si="92"/>
        <v/>
      </c>
      <c r="N793" s="33" t="str">
        <f t="shared" si="93"/>
        <v/>
      </c>
      <c r="O793" s="33" t="str">
        <f t="shared" si="94"/>
        <v/>
      </c>
      <c r="P793" t="str">
        <f t="shared" si="95"/>
        <v/>
      </c>
      <c r="Q793" s="33" t="str">
        <f t="shared" si="96"/>
        <v/>
      </c>
      <c r="R793" s="39" t="str">
        <f t="shared" si="97"/>
        <v/>
      </c>
    </row>
    <row r="794" spans="6:18" x14ac:dyDescent="0.25">
      <c r="F794" s="35">
        <v>788</v>
      </c>
      <c r="L794" s="33" t="str">
        <f t="shared" si="91"/>
        <v/>
      </c>
      <c r="M794" t="str">
        <f t="shared" si="92"/>
        <v/>
      </c>
      <c r="N794" s="33" t="str">
        <f t="shared" si="93"/>
        <v/>
      </c>
      <c r="O794" s="33" t="str">
        <f t="shared" si="94"/>
        <v/>
      </c>
      <c r="P794" t="str">
        <f t="shared" si="95"/>
        <v/>
      </c>
      <c r="Q794" s="33" t="str">
        <f t="shared" si="96"/>
        <v/>
      </c>
      <c r="R794" s="39" t="str">
        <f t="shared" si="97"/>
        <v/>
      </c>
    </row>
    <row r="795" spans="6:18" x14ac:dyDescent="0.25">
      <c r="F795" s="35">
        <v>789</v>
      </c>
      <c r="L795" s="33" t="str">
        <f t="shared" si="91"/>
        <v/>
      </c>
      <c r="M795" t="str">
        <f t="shared" si="92"/>
        <v/>
      </c>
      <c r="N795" s="33" t="str">
        <f t="shared" si="93"/>
        <v/>
      </c>
      <c r="O795" s="33" t="str">
        <f t="shared" si="94"/>
        <v/>
      </c>
      <c r="P795" t="str">
        <f t="shared" si="95"/>
        <v/>
      </c>
      <c r="Q795" s="33" t="str">
        <f t="shared" si="96"/>
        <v/>
      </c>
      <c r="R795" s="39" t="str">
        <f t="shared" si="97"/>
        <v/>
      </c>
    </row>
    <row r="796" spans="6:18" x14ac:dyDescent="0.25">
      <c r="F796" s="35">
        <v>790</v>
      </c>
      <c r="L796" s="33" t="str">
        <f t="shared" si="91"/>
        <v/>
      </c>
      <c r="M796" t="str">
        <f t="shared" si="92"/>
        <v/>
      </c>
      <c r="N796" s="33" t="str">
        <f t="shared" si="93"/>
        <v/>
      </c>
      <c r="O796" s="33" t="str">
        <f t="shared" si="94"/>
        <v/>
      </c>
      <c r="P796" t="str">
        <f t="shared" si="95"/>
        <v/>
      </c>
      <c r="Q796" s="33" t="str">
        <f t="shared" si="96"/>
        <v/>
      </c>
      <c r="R796" s="39" t="str">
        <f t="shared" si="97"/>
        <v/>
      </c>
    </row>
    <row r="797" spans="6:18" x14ac:dyDescent="0.25">
      <c r="F797" s="35">
        <v>791</v>
      </c>
      <c r="L797" s="33" t="str">
        <f t="shared" si="91"/>
        <v/>
      </c>
      <c r="M797" t="str">
        <f t="shared" si="92"/>
        <v/>
      </c>
      <c r="N797" s="33" t="str">
        <f t="shared" si="93"/>
        <v/>
      </c>
      <c r="O797" s="33" t="str">
        <f t="shared" si="94"/>
        <v/>
      </c>
      <c r="P797" t="str">
        <f t="shared" si="95"/>
        <v/>
      </c>
      <c r="Q797" s="33" t="str">
        <f t="shared" si="96"/>
        <v/>
      </c>
      <c r="R797" s="39" t="str">
        <f t="shared" si="97"/>
        <v/>
      </c>
    </row>
    <row r="798" spans="6:18" x14ac:dyDescent="0.25">
      <c r="F798" s="35">
        <v>792</v>
      </c>
      <c r="L798" s="33" t="str">
        <f t="shared" si="91"/>
        <v/>
      </c>
      <c r="M798" t="str">
        <f t="shared" si="92"/>
        <v/>
      </c>
      <c r="N798" s="33" t="str">
        <f t="shared" si="93"/>
        <v/>
      </c>
      <c r="O798" s="33" t="str">
        <f t="shared" si="94"/>
        <v/>
      </c>
      <c r="P798" t="str">
        <f t="shared" si="95"/>
        <v/>
      </c>
      <c r="Q798" s="33" t="str">
        <f t="shared" si="96"/>
        <v/>
      </c>
      <c r="R798" s="39" t="str">
        <f t="shared" si="97"/>
        <v/>
      </c>
    </row>
    <row r="799" spans="6:18" x14ac:dyDescent="0.25">
      <c r="F799" s="35">
        <v>793</v>
      </c>
      <c r="L799" s="33" t="str">
        <f t="shared" si="91"/>
        <v/>
      </c>
      <c r="M799" t="str">
        <f t="shared" si="92"/>
        <v/>
      </c>
      <c r="N799" s="33" t="str">
        <f t="shared" si="93"/>
        <v/>
      </c>
      <c r="O799" s="33" t="str">
        <f t="shared" si="94"/>
        <v/>
      </c>
      <c r="P799" t="str">
        <f t="shared" si="95"/>
        <v/>
      </c>
      <c r="Q799" s="33" t="str">
        <f t="shared" si="96"/>
        <v/>
      </c>
      <c r="R799" s="39" t="str">
        <f t="shared" si="97"/>
        <v/>
      </c>
    </row>
    <row r="800" spans="6:18" x14ac:dyDescent="0.25">
      <c r="F800" s="35">
        <v>794</v>
      </c>
      <c r="L800" s="33" t="str">
        <f t="shared" si="91"/>
        <v/>
      </c>
      <c r="M800" t="str">
        <f t="shared" si="92"/>
        <v/>
      </c>
      <c r="N800" s="33" t="str">
        <f t="shared" si="93"/>
        <v/>
      </c>
      <c r="O800" s="33" t="str">
        <f t="shared" si="94"/>
        <v/>
      </c>
      <c r="P800" t="str">
        <f t="shared" si="95"/>
        <v/>
      </c>
      <c r="Q800" s="33" t="str">
        <f t="shared" si="96"/>
        <v/>
      </c>
      <c r="R800" s="39" t="str">
        <f t="shared" si="97"/>
        <v/>
      </c>
    </row>
    <row r="801" spans="6:18" x14ac:dyDescent="0.25">
      <c r="F801" s="35">
        <v>795</v>
      </c>
      <c r="L801" s="33" t="str">
        <f t="shared" si="91"/>
        <v/>
      </c>
      <c r="M801" t="str">
        <f t="shared" si="92"/>
        <v/>
      </c>
      <c r="N801" s="33" t="str">
        <f t="shared" si="93"/>
        <v/>
      </c>
      <c r="O801" s="33" t="str">
        <f t="shared" si="94"/>
        <v/>
      </c>
      <c r="P801" t="str">
        <f t="shared" si="95"/>
        <v/>
      </c>
      <c r="Q801" s="33" t="str">
        <f t="shared" si="96"/>
        <v/>
      </c>
      <c r="R801" s="39" t="str">
        <f t="shared" si="97"/>
        <v/>
      </c>
    </row>
    <row r="802" spans="6:18" x14ac:dyDescent="0.25">
      <c r="F802" s="35">
        <v>796</v>
      </c>
      <c r="L802" s="33" t="str">
        <f t="shared" si="91"/>
        <v/>
      </c>
      <c r="M802" t="str">
        <f t="shared" si="92"/>
        <v/>
      </c>
      <c r="N802" s="33" t="str">
        <f t="shared" si="93"/>
        <v/>
      </c>
      <c r="O802" s="33" t="str">
        <f t="shared" si="94"/>
        <v/>
      </c>
      <c r="P802" t="str">
        <f t="shared" si="95"/>
        <v/>
      </c>
      <c r="Q802" s="33" t="str">
        <f t="shared" si="96"/>
        <v/>
      </c>
      <c r="R802" s="39" t="str">
        <f t="shared" si="97"/>
        <v/>
      </c>
    </row>
    <row r="803" spans="6:18" x14ac:dyDescent="0.25">
      <c r="F803" s="35">
        <v>797</v>
      </c>
      <c r="L803" s="33" t="str">
        <f t="shared" si="91"/>
        <v/>
      </c>
      <c r="M803" t="str">
        <f t="shared" si="92"/>
        <v/>
      </c>
      <c r="N803" s="33" t="str">
        <f t="shared" si="93"/>
        <v/>
      </c>
      <c r="O803" s="33" t="str">
        <f t="shared" si="94"/>
        <v/>
      </c>
      <c r="P803" t="str">
        <f t="shared" si="95"/>
        <v/>
      </c>
      <c r="Q803" s="33" t="str">
        <f t="shared" si="96"/>
        <v/>
      </c>
      <c r="R803" s="39" t="str">
        <f t="shared" si="97"/>
        <v/>
      </c>
    </row>
    <row r="804" spans="6:18" x14ac:dyDescent="0.25">
      <c r="F804" s="35">
        <v>798</v>
      </c>
      <c r="L804" s="33" t="str">
        <f t="shared" si="91"/>
        <v/>
      </c>
      <c r="M804" t="str">
        <f t="shared" si="92"/>
        <v/>
      </c>
      <c r="N804" s="33" t="str">
        <f t="shared" si="93"/>
        <v/>
      </c>
      <c r="O804" s="33" t="str">
        <f t="shared" si="94"/>
        <v/>
      </c>
      <c r="P804" t="str">
        <f t="shared" si="95"/>
        <v/>
      </c>
      <c r="Q804" s="33" t="str">
        <f t="shared" si="96"/>
        <v/>
      </c>
      <c r="R804" s="39" t="str">
        <f t="shared" si="97"/>
        <v/>
      </c>
    </row>
    <row r="805" spans="6:18" x14ac:dyDescent="0.25">
      <c r="F805" s="35">
        <v>799</v>
      </c>
      <c r="L805" s="33" t="str">
        <f t="shared" si="91"/>
        <v/>
      </c>
      <c r="M805" t="str">
        <f t="shared" si="92"/>
        <v/>
      </c>
      <c r="N805" s="33" t="str">
        <f t="shared" si="93"/>
        <v/>
      </c>
      <c r="O805" s="33" t="str">
        <f t="shared" si="94"/>
        <v/>
      </c>
      <c r="P805" t="str">
        <f t="shared" si="95"/>
        <v/>
      </c>
      <c r="Q805" s="33" t="str">
        <f t="shared" si="96"/>
        <v/>
      </c>
      <c r="R805" s="39" t="str">
        <f t="shared" si="97"/>
        <v/>
      </c>
    </row>
    <row r="806" spans="6:18" x14ac:dyDescent="0.25">
      <c r="F806" s="35">
        <v>800</v>
      </c>
      <c r="L806" s="33" t="str">
        <f t="shared" si="91"/>
        <v/>
      </c>
      <c r="M806" t="str">
        <f t="shared" si="92"/>
        <v/>
      </c>
      <c r="N806" s="33" t="str">
        <f t="shared" si="93"/>
        <v/>
      </c>
      <c r="O806" s="33" t="str">
        <f t="shared" si="94"/>
        <v/>
      </c>
      <c r="P806" t="str">
        <f t="shared" si="95"/>
        <v/>
      </c>
      <c r="Q806" s="33" t="str">
        <f t="shared" si="96"/>
        <v/>
      </c>
      <c r="R806" s="39" t="str">
        <f t="shared" si="97"/>
        <v/>
      </c>
    </row>
    <row r="807" spans="6:18" x14ac:dyDescent="0.25">
      <c r="F807" s="35">
        <v>801</v>
      </c>
      <c r="L807" s="33" t="str">
        <f t="shared" si="91"/>
        <v/>
      </c>
      <c r="M807" t="str">
        <f t="shared" si="92"/>
        <v/>
      </c>
      <c r="N807" s="33" t="str">
        <f t="shared" si="93"/>
        <v/>
      </c>
      <c r="O807" s="33" t="str">
        <f t="shared" si="94"/>
        <v/>
      </c>
      <c r="P807" t="str">
        <f t="shared" si="95"/>
        <v/>
      </c>
      <c r="Q807" s="33" t="str">
        <f t="shared" si="96"/>
        <v/>
      </c>
      <c r="R807" s="39" t="str">
        <f t="shared" si="97"/>
        <v/>
      </c>
    </row>
    <row r="808" spans="6:18" x14ac:dyDescent="0.25">
      <c r="F808" s="35">
        <v>802</v>
      </c>
      <c r="L808" s="33" t="str">
        <f t="shared" si="91"/>
        <v/>
      </c>
      <c r="M808" t="str">
        <f t="shared" si="92"/>
        <v/>
      </c>
      <c r="N808" s="33" t="str">
        <f t="shared" si="93"/>
        <v/>
      </c>
      <c r="O808" s="33" t="str">
        <f t="shared" si="94"/>
        <v/>
      </c>
      <c r="P808" t="str">
        <f t="shared" si="95"/>
        <v/>
      </c>
      <c r="Q808" s="33" t="str">
        <f t="shared" si="96"/>
        <v/>
      </c>
      <c r="R808" s="39" t="str">
        <f t="shared" si="97"/>
        <v/>
      </c>
    </row>
    <row r="809" spans="6:18" x14ac:dyDescent="0.25">
      <c r="F809" s="35">
        <v>803</v>
      </c>
      <c r="L809" s="33" t="str">
        <f t="shared" si="91"/>
        <v/>
      </c>
      <c r="M809" t="str">
        <f t="shared" si="92"/>
        <v/>
      </c>
      <c r="N809" s="33" t="str">
        <f t="shared" si="93"/>
        <v/>
      </c>
      <c r="O809" s="33" t="str">
        <f t="shared" si="94"/>
        <v/>
      </c>
      <c r="P809" t="str">
        <f t="shared" si="95"/>
        <v/>
      </c>
      <c r="Q809" s="33" t="str">
        <f t="shared" si="96"/>
        <v/>
      </c>
      <c r="R809" s="39" t="str">
        <f t="shared" si="97"/>
        <v/>
      </c>
    </row>
    <row r="810" spans="6:18" x14ac:dyDescent="0.25">
      <c r="F810" s="35">
        <v>804</v>
      </c>
      <c r="L810" s="33" t="str">
        <f t="shared" si="91"/>
        <v/>
      </c>
      <c r="M810" t="str">
        <f t="shared" si="92"/>
        <v/>
      </c>
      <c r="N810" s="33" t="str">
        <f t="shared" si="93"/>
        <v/>
      </c>
      <c r="O810" s="33" t="str">
        <f t="shared" si="94"/>
        <v/>
      </c>
      <c r="P810" t="str">
        <f t="shared" si="95"/>
        <v/>
      </c>
      <c r="Q810" s="33" t="str">
        <f t="shared" si="96"/>
        <v/>
      </c>
      <c r="R810" s="39" t="str">
        <f t="shared" si="97"/>
        <v/>
      </c>
    </row>
    <row r="811" spans="6:18" x14ac:dyDescent="0.25">
      <c r="F811" s="35">
        <v>805</v>
      </c>
      <c r="L811" s="33" t="str">
        <f t="shared" si="91"/>
        <v/>
      </c>
      <c r="M811" t="str">
        <f t="shared" si="92"/>
        <v/>
      </c>
      <c r="N811" s="33" t="str">
        <f t="shared" si="93"/>
        <v/>
      </c>
      <c r="O811" s="33" t="str">
        <f t="shared" si="94"/>
        <v/>
      </c>
      <c r="P811" t="str">
        <f t="shared" si="95"/>
        <v/>
      </c>
      <c r="Q811" s="33" t="str">
        <f t="shared" si="96"/>
        <v/>
      </c>
      <c r="R811" s="39" t="str">
        <f t="shared" si="97"/>
        <v/>
      </c>
    </row>
    <row r="812" spans="6:18" x14ac:dyDescent="0.25">
      <c r="F812" s="35">
        <v>806</v>
      </c>
      <c r="L812" s="33" t="str">
        <f t="shared" si="91"/>
        <v/>
      </c>
      <c r="M812" t="str">
        <f t="shared" si="92"/>
        <v/>
      </c>
      <c r="N812" s="33" t="str">
        <f t="shared" si="93"/>
        <v/>
      </c>
      <c r="O812" s="33" t="str">
        <f t="shared" si="94"/>
        <v/>
      </c>
      <c r="P812" t="str">
        <f t="shared" si="95"/>
        <v/>
      </c>
      <c r="Q812" s="33" t="str">
        <f t="shared" si="96"/>
        <v/>
      </c>
      <c r="R812" s="39" t="str">
        <f t="shared" si="97"/>
        <v/>
      </c>
    </row>
    <row r="813" spans="6:18" x14ac:dyDescent="0.25">
      <c r="F813" s="35">
        <v>807</v>
      </c>
      <c r="L813" s="33" t="str">
        <f t="shared" si="91"/>
        <v/>
      </c>
      <c r="M813" t="str">
        <f t="shared" si="92"/>
        <v/>
      </c>
      <c r="N813" s="33" t="str">
        <f t="shared" si="93"/>
        <v/>
      </c>
      <c r="O813" s="33" t="str">
        <f t="shared" si="94"/>
        <v/>
      </c>
      <c r="P813" t="str">
        <f t="shared" si="95"/>
        <v/>
      </c>
      <c r="Q813" s="33" t="str">
        <f t="shared" si="96"/>
        <v/>
      </c>
      <c r="R813" s="39" t="str">
        <f t="shared" si="97"/>
        <v/>
      </c>
    </row>
    <row r="814" spans="6:18" x14ac:dyDescent="0.25">
      <c r="F814" s="35">
        <v>808</v>
      </c>
      <c r="L814" s="33" t="str">
        <f t="shared" si="91"/>
        <v/>
      </c>
      <c r="M814" t="str">
        <f t="shared" si="92"/>
        <v/>
      </c>
      <c r="N814" s="33" t="str">
        <f t="shared" si="93"/>
        <v/>
      </c>
      <c r="O814" s="33" t="str">
        <f t="shared" si="94"/>
        <v/>
      </c>
      <c r="P814" t="str">
        <f t="shared" si="95"/>
        <v/>
      </c>
      <c r="Q814" s="33" t="str">
        <f t="shared" si="96"/>
        <v/>
      </c>
      <c r="R814" s="39" t="str">
        <f t="shared" si="97"/>
        <v/>
      </c>
    </row>
    <row r="815" spans="6:18" x14ac:dyDescent="0.25">
      <c r="F815" s="35">
        <v>809</v>
      </c>
      <c r="L815" s="33" t="str">
        <f t="shared" si="91"/>
        <v/>
      </c>
      <c r="M815" t="str">
        <f t="shared" si="92"/>
        <v/>
      </c>
      <c r="N815" s="33" t="str">
        <f t="shared" si="93"/>
        <v/>
      </c>
      <c r="O815" s="33" t="str">
        <f t="shared" si="94"/>
        <v/>
      </c>
      <c r="P815" t="str">
        <f t="shared" si="95"/>
        <v/>
      </c>
      <c r="Q815" s="33" t="str">
        <f t="shared" si="96"/>
        <v/>
      </c>
      <c r="R815" s="39" t="str">
        <f t="shared" si="97"/>
        <v/>
      </c>
    </row>
    <row r="816" spans="6:18" x14ac:dyDescent="0.25">
      <c r="F816" s="35">
        <v>810</v>
      </c>
      <c r="L816" s="33" t="str">
        <f t="shared" si="91"/>
        <v/>
      </c>
      <c r="M816" t="str">
        <f t="shared" si="92"/>
        <v/>
      </c>
      <c r="N816" s="33" t="str">
        <f t="shared" si="93"/>
        <v/>
      </c>
      <c r="O816" s="33" t="str">
        <f t="shared" si="94"/>
        <v/>
      </c>
      <c r="P816" t="str">
        <f t="shared" si="95"/>
        <v/>
      </c>
      <c r="Q816" s="33" t="str">
        <f t="shared" si="96"/>
        <v/>
      </c>
      <c r="R816" s="39" t="str">
        <f t="shared" si="97"/>
        <v/>
      </c>
    </row>
    <row r="817" spans="6:18" x14ac:dyDescent="0.25">
      <c r="F817" s="35">
        <v>811</v>
      </c>
      <c r="L817" s="33" t="str">
        <f t="shared" si="91"/>
        <v/>
      </c>
      <c r="M817" t="str">
        <f t="shared" si="92"/>
        <v/>
      </c>
      <c r="N817" s="33" t="str">
        <f t="shared" si="93"/>
        <v/>
      </c>
      <c r="O817" s="33" t="str">
        <f t="shared" si="94"/>
        <v/>
      </c>
      <c r="P817" t="str">
        <f t="shared" si="95"/>
        <v/>
      </c>
      <c r="Q817" s="33" t="str">
        <f t="shared" si="96"/>
        <v/>
      </c>
      <c r="R817" s="39" t="str">
        <f t="shared" si="97"/>
        <v/>
      </c>
    </row>
    <row r="818" spans="6:18" x14ac:dyDescent="0.25">
      <c r="F818" s="35">
        <v>812</v>
      </c>
      <c r="L818" s="33" t="str">
        <f t="shared" si="91"/>
        <v/>
      </c>
      <c r="M818" t="str">
        <f t="shared" si="92"/>
        <v/>
      </c>
      <c r="N818" s="33" t="str">
        <f t="shared" si="93"/>
        <v/>
      </c>
      <c r="O818" s="33" t="str">
        <f t="shared" si="94"/>
        <v/>
      </c>
      <c r="P818" t="str">
        <f t="shared" si="95"/>
        <v/>
      </c>
      <c r="Q818" s="33" t="str">
        <f t="shared" si="96"/>
        <v/>
      </c>
      <c r="R818" s="39" t="str">
        <f t="shared" si="97"/>
        <v/>
      </c>
    </row>
    <row r="819" spans="6:18" x14ac:dyDescent="0.25">
      <c r="F819" s="35">
        <v>813</v>
      </c>
      <c r="L819" s="33" t="str">
        <f t="shared" si="91"/>
        <v/>
      </c>
      <c r="M819" t="str">
        <f t="shared" si="92"/>
        <v/>
      </c>
      <c r="N819" s="33" t="str">
        <f t="shared" si="93"/>
        <v/>
      </c>
      <c r="O819" s="33" t="str">
        <f t="shared" si="94"/>
        <v/>
      </c>
      <c r="P819" t="str">
        <f t="shared" si="95"/>
        <v/>
      </c>
      <c r="Q819" s="33" t="str">
        <f t="shared" si="96"/>
        <v/>
      </c>
      <c r="R819" s="39" t="str">
        <f t="shared" si="97"/>
        <v/>
      </c>
    </row>
    <row r="820" spans="6:18" x14ac:dyDescent="0.25">
      <c r="F820" s="35">
        <v>814</v>
      </c>
      <c r="L820" s="33" t="str">
        <f t="shared" si="91"/>
        <v/>
      </c>
      <c r="M820" t="str">
        <f t="shared" si="92"/>
        <v/>
      </c>
      <c r="N820" s="33" t="str">
        <f t="shared" si="93"/>
        <v/>
      </c>
      <c r="O820" s="33" t="str">
        <f t="shared" si="94"/>
        <v/>
      </c>
      <c r="P820" t="str">
        <f t="shared" si="95"/>
        <v/>
      </c>
      <c r="Q820" s="33" t="str">
        <f t="shared" si="96"/>
        <v/>
      </c>
      <c r="R820" s="39" t="str">
        <f t="shared" si="97"/>
        <v/>
      </c>
    </row>
    <row r="821" spans="6:18" x14ac:dyDescent="0.25">
      <c r="F821" s="35">
        <v>815</v>
      </c>
      <c r="L821" s="33" t="str">
        <f t="shared" si="91"/>
        <v/>
      </c>
      <c r="M821" t="str">
        <f t="shared" si="92"/>
        <v/>
      </c>
      <c r="N821" s="33" t="str">
        <f t="shared" si="93"/>
        <v/>
      </c>
      <c r="O821" s="33" t="str">
        <f t="shared" si="94"/>
        <v/>
      </c>
      <c r="P821" t="str">
        <f t="shared" si="95"/>
        <v/>
      </c>
      <c r="Q821" s="33" t="str">
        <f t="shared" si="96"/>
        <v/>
      </c>
      <c r="R821" s="39" t="str">
        <f t="shared" si="97"/>
        <v/>
      </c>
    </row>
    <row r="822" spans="6:18" x14ac:dyDescent="0.25">
      <c r="F822" s="35">
        <v>816</v>
      </c>
      <c r="L822" s="33" t="str">
        <f t="shared" si="91"/>
        <v/>
      </c>
      <c r="M822" t="str">
        <f t="shared" si="92"/>
        <v/>
      </c>
      <c r="N822" s="33" t="str">
        <f t="shared" si="93"/>
        <v/>
      </c>
      <c r="O822" s="33" t="str">
        <f t="shared" si="94"/>
        <v/>
      </c>
      <c r="P822" t="str">
        <f t="shared" si="95"/>
        <v/>
      </c>
      <c r="Q822" s="33" t="str">
        <f t="shared" si="96"/>
        <v/>
      </c>
      <c r="R822" s="39" t="str">
        <f t="shared" si="97"/>
        <v/>
      </c>
    </row>
    <row r="823" spans="6:18" x14ac:dyDescent="0.25">
      <c r="F823" s="35">
        <v>817</v>
      </c>
      <c r="L823" s="33" t="str">
        <f t="shared" si="91"/>
        <v/>
      </c>
      <c r="M823" t="str">
        <f t="shared" si="92"/>
        <v/>
      </c>
      <c r="N823" s="33" t="str">
        <f t="shared" si="93"/>
        <v/>
      </c>
      <c r="O823" s="33" t="str">
        <f t="shared" si="94"/>
        <v/>
      </c>
      <c r="P823" t="str">
        <f t="shared" si="95"/>
        <v/>
      </c>
      <c r="Q823" s="33" t="str">
        <f t="shared" si="96"/>
        <v/>
      </c>
      <c r="R823" s="39" t="str">
        <f t="shared" si="97"/>
        <v/>
      </c>
    </row>
    <row r="824" spans="6:18" x14ac:dyDescent="0.25">
      <c r="F824" s="35">
        <v>818</v>
      </c>
      <c r="L824" s="33" t="str">
        <f t="shared" si="91"/>
        <v/>
      </c>
      <c r="M824" t="str">
        <f t="shared" si="92"/>
        <v/>
      </c>
      <c r="N824" s="33" t="str">
        <f t="shared" si="93"/>
        <v/>
      </c>
      <c r="O824" s="33" t="str">
        <f t="shared" si="94"/>
        <v/>
      </c>
      <c r="P824" t="str">
        <f t="shared" si="95"/>
        <v/>
      </c>
      <c r="Q824" s="33" t="str">
        <f t="shared" si="96"/>
        <v/>
      </c>
      <c r="R824" s="39" t="str">
        <f t="shared" si="97"/>
        <v/>
      </c>
    </row>
    <row r="825" spans="6:18" x14ac:dyDescent="0.25">
      <c r="F825" s="35">
        <v>819</v>
      </c>
      <c r="L825" s="33" t="str">
        <f t="shared" si="91"/>
        <v/>
      </c>
      <c r="M825" t="str">
        <f t="shared" si="92"/>
        <v/>
      </c>
      <c r="N825" s="33" t="str">
        <f t="shared" si="93"/>
        <v/>
      </c>
      <c r="O825" s="33" t="str">
        <f t="shared" si="94"/>
        <v/>
      </c>
      <c r="P825" t="str">
        <f t="shared" si="95"/>
        <v/>
      </c>
      <c r="Q825" s="33" t="str">
        <f t="shared" si="96"/>
        <v/>
      </c>
      <c r="R825" s="39" t="str">
        <f t="shared" si="97"/>
        <v/>
      </c>
    </row>
    <row r="826" spans="6:18" x14ac:dyDescent="0.25">
      <c r="F826" s="35">
        <v>820</v>
      </c>
      <c r="L826" s="33" t="str">
        <f t="shared" si="91"/>
        <v/>
      </c>
      <c r="M826" t="str">
        <f t="shared" si="92"/>
        <v/>
      </c>
      <c r="N826" s="33" t="str">
        <f t="shared" si="93"/>
        <v/>
      </c>
      <c r="O826" s="33" t="str">
        <f t="shared" si="94"/>
        <v/>
      </c>
      <c r="P826" t="str">
        <f t="shared" si="95"/>
        <v/>
      </c>
      <c r="Q826" s="33" t="str">
        <f t="shared" si="96"/>
        <v/>
      </c>
      <c r="R826" s="39" t="str">
        <f t="shared" si="97"/>
        <v/>
      </c>
    </row>
    <row r="827" spans="6:18" x14ac:dyDescent="0.25">
      <c r="F827" s="35">
        <v>821</v>
      </c>
      <c r="L827" s="33" t="str">
        <f t="shared" si="91"/>
        <v/>
      </c>
      <c r="M827" t="str">
        <f t="shared" si="92"/>
        <v/>
      </c>
      <c r="N827" s="33" t="str">
        <f t="shared" si="93"/>
        <v/>
      </c>
      <c r="O827" s="33" t="str">
        <f t="shared" si="94"/>
        <v/>
      </c>
      <c r="P827" t="str">
        <f t="shared" si="95"/>
        <v/>
      </c>
      <c r="Q827" s="33" t="str">
        <f t="shared" si="96"/>
        <v/>
      </c>
      <c r="R827" s="39" t="str">
        <f t="shared" si="97"/>
        <v/>
      </c>
    </row>
    <row r="828" spans="6:18" x14ac:dyDescent="0.25">
      <c r="F828" s="35">
        <v>822</v>
      </c>
      <c r="L828" s="33" t="str">
        <f t="shared" si="91"/>
        <v/>
      </c>
      <c r="M828" t="str">
        <f t="shared" si="92"/>
        <v/>
      </c>
      <c r="N828" s="33" t="str">
        <f t="shared" si="93"/>
        <v/>
      </c>
      <c r="O828" s="33" t="str">
        <f t="shared" si="94"/>
        <v/>
      </c>
      <c r="P828" t="str">
        <f t="shared" si="95"/>
        <v/>
      </c>
      <c r="Q828" s="33" t="str">
        <f t="shared" si="96"/>
        <v/>
      </c>
      <c r="R828" s="39" t="str">
        <f t="shared" si="97"/>
        <v/>
      </c>
    </row>
    <row r="829" spans="6:18" x14ac:dyDescent="0.25">
      <c r="F829" s="35">
        <v>823</v>
      </c>
      <c r="L829" s="33" t="str">
        <f t="shared" si="91"/>
        <v/>
      </c>
      <c r="M829" t="str">
        <f t="shared" si="92"/>
        <v/>
      </c>
      <c r="N829" s="33" t="str">
        <f t="shared" si="93"/>
        <v/>
      </c>
      <c r="O829" s="33" t="str">
        <f t="shared" si="94"/>
        <v/>
      </c>
      <c r="P829" t="str">
        <f t="shared" si="95"/>
        <v/>
      </c>
      <c r="Q829" s="33" t="str">
        <f t="shared" si="96"/>
        <v/>
      </c>
      <c r="R829" s="39" t="str">
        <f t="shared" si="97"/>
        <v/>
      </c>
    </row>
    <row r="830" spans="6:18" x14ac:dyDescent="0.25">
      <c r="F830" s="35">
        <v>824</v>
      </c>
      <c r="L830" s="33" t="str">
        <f t="shared" si="91"/>
        <v/>
      </c>
      <c r="M830" t="str">
        <f t="shared" si="92"/>
        <v/>
      </c>
      <c r="N830" s="33" t="str">
        <f t="shared" si="93"/>
        <v/>
      </c>
      <c r="O830" s="33" t="str">
        <f t="shared" si="94"/>
        <v/>
      </c>
      <c r="P830" t="str">
        <f t="shared" si="95"/>
        <v/>
      </c>
      <c r="Q830" s="33" t="str">
        <f t="shared" si="96"/>
        <v/>
      </c>
      <c r="R830" s="39" t="str">
        <f t="shared" si="97"/>
        <v/>
      </c>
    </row>
    <row r="831" spans="6:18" x14ac:dyDescent="0.25">
      <c r="F831" s="35">
        <v>825</v>
      </c>
      <c r="L831" s="33" t="str">
        <f t="shared" si="91"/>
        <v/>
      </c>
      <c r="M831" t="str">
        <f t="shared" si="92"/>
        <v/>
      </c>
      <c r="N831" s="33" t="str">
        <f t="shared" si="93"/>
        <v/>
      </c>
      <c r="O831" s="33" t="str">
        <f t="shared" si="94"/>
        <v/>
      </c>
      <c r="P831" t="str">
        <f t="shared" si="95"/>
        <v/>
      </c>
      <c r="Q831" s="33" t="str">
        <f t="shared" si="96"/>
        <v/>
      </c>
      <c r="R831" s="39" t="str">
        <f t="shared" si="97"/>
        <v/>
      </c>
    </row>
    <row r="832" spans="6:18" x14ac:dyDescent="0.25">
      <c r="F832" s="35">
        <v>826</v>
      </c>
      <c r="L832" s="33" t="str">
        <f t="shared" si="91"/>
        <v/>
      </c>
      <c r="M832" t="str">
        <f t="shared" si="92"/>
        <v/>
      </c>
      <c r="N832" s="33" t="str">
        <f t="shared" si="93"/>
        <v/>
      </c>
      <c r="O832" s="33" t="str">
        <f t="shared" si="94"/>
        <v/>
      </c>
      <c r="P832" t="str">
        <f t="shared" si="95"/>
        <v/>
      </c>
      <c r="Q832" s="33" t="str">
        <f t="shared" si="96"/>
        <v/>
      </c>
      <c r="R832" s="39" t="str">
        <f t="shared" si="97"/>
        <v/>
      </c>
    </row>
    <row r="833" spans="6:18" x14ac:dyDescent="0.25">
      <c r="F833" s="35">
        <v>827</v>
      </c>
      <c r="L833" s="33" t="str">
        <f t="shared" si="91"/>
        <v/>
      </c>
      <c r="M833" t="str">
        <f t="shared" si="92"/>
        <v/>
      </c>
      <c r="N833" s="33" t="str">
        <f t="shared" si="93"/>
        <v/>
      </c>
      <c r="O833" s="33" t="str">
        <f t="shared" si="94"/>
        <v/>
      </c>
      <c r="P833" t="str">
        <f t="shared" si="95"/>
        <v/>
      </c>
      <c r="Q833" s="33" t="str">
        <f t="shared" si="96"/>
        <v/>
      </c>
      <c r="R833" s="39" t="str">
        <f t="shared" si="97"/>
        <v/>
      </c>
    </row>
    <row r="834" spans="6:18" x14ac:dyDescent="0.25">
      <c r="F834" s="35">
        <v>828</v>
      </c>
      <c r="L834" s="33" t="str">
        <f t="shared" si="91"/>
        <v/>
      </c>
      <c r="M834" t="str">
        <f t="shared" si="92"/>
        <v/>
      </c>
      <c r="N834" s="33" t="str">
        <f t="shared" si="93"/>
        <v/>
      </c>
      <c r="O834" s="33" t="str">
        <f t="shared" si="94"/>
        <v/>
      </c>
      <c r="P834" t="str">
        <f t="shared" si="95"/>
        <v/>
      </c>
      <c r="Q834" s="33" t="str">
        <f t="shared" si="96"/>
        <v/>
      </c>
      <c r="R834" s="39" t="str">
        <f t="shared" si="97"/>
        <v/>
      </c>
    </row>
    <row r="835" spans="6:18" x14ac:dyDescent="0.25">
      <c r="F835" s="35">
        <v>829</v>
      </c>
      <c r="L835" s="33" t="str">
        <f t="shared" si="91"/>
        <v/>
      </c>
      <c r="M835" t="str">
        <f t="shared" si="92"/>
        <v/>
      </c>
      <c r="N835" s="33" t="str">
        <f t="shared" si="93"/>
        <v/>
      </c>
      <c r="O835" s="33" t="str">
        <f t="shared" si="94"/>
        <v/>
      </c>
      <c r="P835" t="str">
        <f t="shared" si="95"/>
        <v/>
      </c>
      <c r="Q835" s="33" t="str">
        <f t="shared" si="96"/>
        <v/>
      </c>
      <c r="R835" s="39" t="str">
        <f t="shared" si="97"/>
        <v/>
      </c>
    </row>
    <row r="836" spans="6:18" x14ac:dyDescent="0.25">
      <c r="F836" s="35">
        <v>830</v>
      </c>
      <c r="L836" s="33" t="str">
        <f t="shared" si="91"/>
        <v/>
      </c>
      <c r="M836" t="str">
        <f t="shared" si="92"/>
        <v/>
      </c>
      <c r="N836" s="33" t="str">
        <f t="shared" si="93"/>
        <v/>
      </c>
      <c r="O836" s="33" t="str">
        <f t="shared" si="94"/>
        <v/>
      </c>
      <c r="P836" t="str">
        <f t="shared" si="95"/>
        <v/>
      </c>
      <c r="Q836" s="33" t="str">
        <f t="shared" si="96"/>
        <v/>
      </c>
      <c r="R836" s="39" t="str">
        <f t="shared" si="97"/>
        <v/>
      </c>
    </row>
    <row r="837" spans="6:18" x14ac:dyDescent="0.25">
      <c r="F837" s="35">
        <v>831</v>
      </c>
      <c r="L837" s="33" t="str">
        <f t="shared" si="91"/>
        <v/>
      </c>
      <c r="M837" t="str">
        <f t="shared" si="92"/>
        <v/>
      </c>
      <c r="N837" s="33" t="str">
        <f t="shared" si="93"/>
        <v/>
      </c>
      <c r="O837" s="33" t="str">
        <f t="shared" si="94"/>
        <v/>
      </c>
      <c r="P837" t="str">
        <f t="shared" si="95"/>
        <v/>
      </c>
      <c r="Q837" s="33" t="str">
        <f t="shared" si="96"/>
        <v/>
      </c>
      <c r="R837" s="39" t="str">
        <f t="shared" si="97"/>
        <v/>
      </c>
    </row>
    <row r="838" spans="6:18" x14ac:dyDescent="0.25">
      <c r="F838" s="35">
        <v>832</v>
      </c>
      <c r="L838" s="33" t="str">
        <f t="shared" si="91"/>
        <v/>
      </c>
      <c r="M838" t="str">
        <f t="shared" si="92"/>
        <v/>
      </c>
      <c r="N838" s="33" t="str">
        <f t="shared" si="93"/>
        <v/>
      </c>
      <c r="O838" s="33" t="str">
        <f t="shared" si="94"/>
        <v/>
      </c>
      <c r="P838" t="str">
        <f t="shared" si="95"/>
        <v/>
      </c>
      <c r="Q838" s="33" t="str">
        <f t="shared" si="96"/>
        <v/>
      </c>
      <c r="R838" s="39" t="str">
        <f t="shared" si="97"/>
        <v/>
      </c>
    </row>
    <row r="839" spans="6:18" x14ac:dyDescent="0.25">
      <c r="F839" s="35">
        <v>833</v>
      </c>
      <c r="L839" s="33" t="str">
        <f t="shared" si="91"/>
        <v/>
      </c>
      <c r="M839" t="str">
        <f t="shared" si="92"/>
        <v/>
      </c>
      <c r="N839" s="33" t="str">
        <f t="shared" si="93"/>
        <v/>
      </c>
      <c r="O839" s="33" t="str">
        <f t="shared" si="94"/>
        <v/>
      </c>
      <c r="P839" t="str">
        <f t="shared" si="95"/>
        <v/>
      </c>
      <c r="Q839" s="33" t="str">
        <f t="shared" si="96"/>
        <v/>
      </c>
      <c r="R839" s="39" t="str">
        <f t="shared" si="97"/>
        <v/>
      </c>
    </row>
    <row r="840" spans="6:18" x14ac:dyDescent="0.25">
      <c r="F840" s="35">
        <v>834</v>
      </c>
      <c r="L840" s="33" t="str">
        <f t="shared" ref="L840:L903" si="98">IF(G840="","",$C$4*$C$6*$C$7/360)</f>
        <v/>
      </c>
      <c r="M840" t="str">
        <f t="shared" ref="M840:M903" si="99">IF(G840="","",IF(H840=$G$2,100,0))</f>
        <v/>
      </c>
      <c r="N840" s="33" t="str">
        <f t="shared" ref="N840:N903" si="100">IF(G840="","",L840+M840)</f>
        <v/>
      </c>
      <c r="O840" s="33" t="str">
        <f t="shared" ref="O840:O903" si="101">IF(G840="","",1/(1+$C$5*K840/360)^(J840/K840))</f>
        <v/>
      </c>
      <c r="P840" t="str">
        <f t="shared" ref="P840:P903" si="102">IF(G840="","",H840-$C$12)</f>
        <v/>
      </c>
      <c r="Q840" s="33" t="str">
        <f t="shared" ref="Q840:Q903" si="103">IF(G840="","",(P840/K840))</f>
        <v/>
      </c>
      <c r="R840" s="39" t="str">
        <f t="shared" ref="R840:R903" si="104">IF(G840="","",N840*O840)</f>
        <v/>
      </c>
    </row>
    <row r="841" spans="6:18" x14ac:dyDescent="0.25">
      <c r="F841" s="35">
        <v>835</v>
      </c>
      <c r="L841" s="33" t="str">
        <f t="shared" si="98"/>
        <v/>
      </c>
      <c r="M841" t="str">
        <f t="shared" si="99"/>
        <v/>
      </c>
      <c r="N841" s="33" t="str">
        <f t="shared" si="100"/>
        <v/>
      </c>
      <c r="O841" s="33" t="str">
        <f t="shared" si="101"/>
        <v/>
      </c>
      <c r="P841" t="str">
        <f t="shared" si="102"/>
        <v/>
      </c>
      <c r="Q841" s="33" t="str">
        <f t="shared" si="103"/>
        <v/>
      </c>
      <c r="R841" s="39" t="str">
        <f t="shared" si="104"/>
        <v/>
      </c>
    </row>
    <row r="842" spans="6:18" x14ac:dyDescent="0.25">
      <c r="F842" s="35">
        <v>836</v>
      </c>
      <c r="L842" s="33" t="str">
        <f t="shared" si="98"/>
        <v/>
      </c>
      <c r="M842" t="str">
        <f t="shared" si="99"/>
        <v/>
      </c>
      <c r="N842" s="33" t="str">
        <f t="shared" si="100"/>
        <v/>
      </c>
      <c r="O842" s="33" t="str">
        <f t="shared" si="101"/>
        <v/>
      </c>
      <c r="P842" t="str">
        <f t="shared" si="102"/>
        <v/>
      </c>
      <c r="Q842" s="33" t="str">
        <f t="shared" si="103"/>
        <v/>
      </c>
      <c r="R842" s="39" t="str">
        <f t="shared" si="104"/>
        <v/>
      </c>
    </row>
    <row r="843" spans="6:18" x14ac:dyDescent="0.25">
      <c r="F843" s="35">
        <v>837</v>
      </c>
      <c r="L843" s="33" t="str">
        <f t="shared" si="98"/>
        <v/>
      </c>
      <c r="M843" t="str">
        <f t="shared" si="99"/>
        <v/>
      </c>
      <c r="N843" s="33" t="str">
        <f t="shared" si="100"/>
        <v/>
      </c>
      <c r="O843" s="33" t="str">
        <f t="shared" si="101"/>
        <v/>
      </c>
      <c r="P843" t="str">
        <f t="shared" si="102"/>
        <v/>
      </c>
      <c r="Q843" s="33" t="str">
        <f t="shared" si="103"/>
        <v/>
      </c>
      <c r="R843" s="39" t="str">
        <f t="shared" si="104"/>
        <v/>
      </c>
    </row>
    <row r="844" spans="6:18" x14ac:dyDescent="0.25">
      <c r="F844" s="35">
        <v>838</v>
      </c>
      <c r="L844" s="33" t="str">
        <f t="shared" si="98"/>
        <v/>
      </c>
      <c r="M844" t="str">
        <f t="shared" si="99"/>
        <v/>
      </c>
      <c r="N844" s="33" t="str">
        <f t="shared" si="100"/>
        <v/>
      </c>
      <c r="O844" s="33" t="str">
        <f t="shared" si="101"/>
        <v/>
      </c>
      <c r="P844" t="str">
        <f t="shared" si="102"/>
        <v/>
      </c>
      <c r="Q844" s="33" t="str">
        <f t="shared" si="103"/>
        <v/>
      </c>
      <c r="R844" s="39" t="str">
        <f t="shared" si="104"/>
        <v/>
      </c>
    </row>
    <row r="845" spans="6:18" x14ac:dyDescent="0.25">
      <c r="F845" s="35">
        <v>839</v>
      </c>
      <c r="L845" s="33" t="str">
        <f t="shared" si="98"/>
        <v/>
      </c>
      <c r="M845" t="str">
        <f t="shared" si="99"/>
        <v/>
      </c>
      <c r="N845" s="33" t="str">
        <f t="shared" si="100"/>
        <v/>
      </c>
      <c r="O845" s="33" t="str">
        <f t="shared" si="101"/>
        <v/>
      </c>
      <c r="P845" t="str">
        <f t="shared" si="102"/>
        <v/>
      </c>
      <c r="Q845" s="33" t="str">
        <f t="shared" si="103"/>
        <v/>
      </c>
      <c r="R845" s="39" t="str">
        <f t="shared" si="104"/>
        <v/>
      </c>
    </row>
    <row r="846" spans="6:18" x14ac:dyDescent="0.25">
      <c r="F846" s="35">
        <v>840</v>
      </c>
      <c r="L846" s="33" t="str">
        <f t="shared" si="98"/>
        <v/>
      </c>
      <c r="M846" t="str">
        <f t="shared" si="99"/>
        <v/>
      </c>
      <c r="N846" s="33" t="str">
        <f t="shared" si="100"/>
        <v/>
      </c>
      <c r="O846" s="33" t="str">
        <f t="shared" si="101"/>
        <v/>
      </c>
      <c r="P846" t="str">
        <f t="shared" si="102"/>
        <v/>
      </c>
      <c r="Q846" s="33" t="str">
        <f t="shared" si="103"/>
        <v/>
      </c>
      <c r="R846" s="39" t="str">
        <f t="shared" si="104"/>
        <v/>
      </c>
    </row>
    <row r="847" spans="6:18" x14ac:dyDescent="0.25">
      <c r="F847" s="35">
        <v>841</v>
      </c>
      <c r="L847" s="33" t="str">
        <f t="shared" si="98"/>
        <v/>
      </c>
      <c r="M847" t="str">
        <f t="shared" si="99"/>
        <v/>
      </c>
      <c r="N847" s="33" t="str">
        <f t="shared" si="100"/>
        <v/>
      </c>
      <c r="O847" s="33" t="str">
        <f t="shared" si="101"/>
        <v/>
      </c>
      <c r="P847" t="str">
        <f t="shared" si="102"/>
        <v/>
      </c>
      <c r="Q847" s="33" t="str">
        <f t="shared" si="103"/>
        <v/>
      </c>
      <c r="R847" s="39" t="str">
        <f t="shared" si="104"/>
        <v/>
      </c>
    </row>
    <row r="848" spans="6:18" x14ac:dyDescent="0.25">
      <c r="F848" s="35">
        <v>842</v>
      </c>
      <c r="L848" s="33" t="str">
        <f t="shared" si="98"/>
        <v/>
      </c>
      <c r="M848" t="str">
        <f t="shared" si="99"/>
        <v/>
      </c>
      <c r="N848" s="33" t="str">
        <f t="shared" si="100"/>
        <v/>
      </c>
      <c r="O848" s="33" t="str">
        <f t="shared" si="101"/>
        <v/>
      </c>
      <c r="P848" t="str">
        <f t="shared" si="102"/>
        <v/>
      </c>
      <c r="Q848" s="33" t="str">
        <f t="shared" si="103"/>
        <v/>
      </c>
      <c r="R848" s="39" t="str">
        <f t="shared" si="104"/>
        <v/>
      </c>
    </row>
    <row r="849" spans="6:18" x14ac:dyDescent="0.25">
      <c r="F849" s="35">
        <v>843</v>
      </c>
      <c r="L849" s="33" t="str">
        <f t="shared" si="98"/>
        <v/>
      </c>
      <c r="M849" t="str">
        <f t="shared" si="99"/>
        <v/>
      </c>
      <c r="N849" s="33" t="str">
        <f t="shared" si="100"/>
        <v/>
      </c>
      <c r="O849" s="33" t="str">
        <f t="shared" si="101"/>
        <v/>
      </c>
      <c r="P849" t="str">
        <f t="shared" si="102"/>
        <v/>
      </c>
      <c r="Q849" s="33" t="str">
        <f t="shared" si="103"/>
        <v/>
      </c>
      <c r="R849" s="39" t="str">
        <f t="shared" si="104"/>
        <v/>
      </c>
    </row>
    <row r="850" spans="6:18" x14ac:dyDescent="0.25">
      <c r="F850" s="35">
        <v>844</v>
      </c>
      <c r="L850" s="33" t="str">
        <f t="shared" si="98"/>
        <v/>
      </c>
      <c r="M850" t="str">
        <f t="shared" si="99"/>
        <v/>
      </c>
      <c r="N850" s="33" t="str">
        <f t="shared" si="100"/>
        <v/>
      </c>
      <c r="O850" s="33" t="str">
        <f t="shared" si="101"/>
        <v/>
      </c>
      <c r="P850" t="str">
        <f t="shared" si="102"/>
        <v/>
      </c>
      <c r="Q850" s="33" t="str">
        <f t="shared" si="103"/>
        <v/>
      </c>
      <c r="R850" s="39" t="str">
        <f t="shared" si="104"/>
        <v/>
      </c>
    </row>
    <row r="851" spans="6:18" x14ac:dyDescent="0.25">
      <c r="F851" s="35">
        <v>845</v>
      </c>
      <c r="L851" s="33" t="str">
        <f t="shared" si="98"/>
        <v/>
      </c>
      <c r="M851" t="str">
        <f t="shared" si="99"/>
        <v/>
      </c>
      <c r="N851" s="33" t="str">
        <f t="shared" si="100"/>
        <v/>
      </c>
      <c r="O851" s="33" t="str">
        <f t="shared" si="101"/>
        <v/>
      </c>
      <c r="P851" t="str">
        <f t="shared" si="102"/>
        <v/>
      </c>
      <c r="Q851" s="33" t="str">
        <f t="shared" si="103"/>
        <v/>
      </c>
      <c r="R851" s="39" t="str">
        <f t="shared" si="104"/>
        <v/>
      </c>
    </row>
    <row r="852" spans="6:18" x14ac:dyDescent="0.25">
      <c r="F852" s="35">
        <v>846</v>
      </c>
      <c r="L852" s="33" t="str">
        <f t="shared" si="98"/>
        <v/>
      </c>
      <c r="M852" t="str">
        <f t="shared" si="99"/>
        <v/>
      </c>
      <c r="N852" s="33" t="str">
        <f t="shared" si="100"/>
        <v/>
      </c>
      <c r="O852" s="33" t="str">
        <f t="shared" si="101"/>
        <v/>
      </c>
      <c r="P852" t="str">
        <f t="shared" si="102"/>
        <v/>
      </c>
      <c r="Q852" s="33" t="str">
        <f t="shared" si="103"/>
        <v/>
      </c>
      <c r="R852" s="39" t="str">
        <f t="shared" si="104"/>
        <v/>
      </c>
    </row>
    <row r="853" spans="6:18" x14ac:dyDescent="0.25">
      <c r="F853" s="35">
        <v>847</v>
      </c>
      <c r="L853" s="33" t="str">
        <f t="shared" si="98"/>
        <v/>
      </c>
      <c r="M853" t="str">
        <f t="shared" si="99"/>
        <v/>
      </c>
      <c r="N853" s="33" t="str">
        <f t="shared" si="100"/>
        <v/>
      </c>
      <c r="O853" s="33" t="str">
        <f t="shared" si="101"/>
        <v/>
      </c>
      <c r="P853" t="str">
        <f t="shared" si="102"/>
        <v/>
      </c>
      <c r="Q853" s="33" t="str">
        <f t="shared" si="103"/>
        <v/>
      </c>
      <c r="R853" s="39" t="str">
        <f t="shared" si="104"/>
        <v/>
      </c>
    </row>
    <row r="854" spans="6:18" x14ac:dyDescent="0.25">
      <c r="F854" s="35">
        <v>848</v>
      </c>
      <c r="L854" s="33" t="str">
        <f t="shared" si="98"/>
        <v/>
      </c>
      <c r="M854" t="str">
        <f t="shared" si="99"/>
        <v/>
      </c>
      <c r="N854" s="33" t="str">
        <f t="shared" si="100"/>
        <v/>
      </c>
      <c r="O854" s="33" t="str">
        <f t="shared" si="101"/>
        <v/>
      </c>
      <c r="P854" t="str">
        <f t="shared" si="102"/>
        <v/>
      </c>
      <c r="Q854" s="33" t="str">
        <f t="shared" si="103"/>
        <v/>
      </c>
      <c r="R854" s="39" t="str">
        <f t="shared" si="104"/>
        <v/>
      </c>
    </row>
    <row r="855" spans="6:18" x14ac:dyDescent="0.25">
      <c r="F855" s="35">
        <v>849</v>
      </c>
      <c r="L855" s="33" t="str">
        <f t="shared" si="98"/>
        <v/>
      </c>
      <c r="M855" t="str">
        <f t="shared" si="99"/>
        <v/>
      </c>
      <c r="N855" s="33" t="str">
        <f t="shared" si="100"/>
        <v/>
      </c>
      <c r="O855" s="33" t="str">
        <f t="shared" si="101"/>
        <v/>
      </c>
      <c r="P855" t="str">
        <f t="shared" si="102"/>
        <v/>
      </c>
      <c r="Q855" s="33" t="str">
        <f t="shared" si="103"/>
        <v/>
      </c>
      <c r="R855" s="39" t="str">
        <f t="shared" si="104"/>
        <v/>
      </c>
    </row>
    <row r="856" spans="6:18" x14ac:dyDescent="0.25">
      <c r="F856" s="35">
        <v>850</v>
      </c>
      <c r="L856" s="33" t="str">
        <f t="shared" si="98"/>
        <v/>
      </c>
      <c r="M856" t="str">
        <f t="shared" si="99"/>
        <v/>
      </c>
      <c r="N856" s="33" t="str">
        <f t="shared" si="100"/>
        <v/>
      </c>
      <c r="O856" s="33" t="str">
        <f t="shared" si="101"/>
        <v/>
      </c>
      <c r="P856" t="str">
        <f t="shared" si="102"/>
        <v/>
      </c>
      <c r="Q856" s="33" t="str">
        <f t="shared" si="103"/>
        <v/>
      </c>
      <c r="R856" s="39" t="str">
        <f t="shared" si="104"/>
        <v/>
      </c>
    </row>
    <row r="857" spans="6:18" x14ac:dyDescent="0.25">
      <c r="F857" s="35">
        <v>851</v>
      </c>
      <c r="L857" s="33" t="str">
        <f t="shared" si="98"/>
        <v/>
      </c>
      <c r="M857" t="str">
        <f t="shared" si="99"/>
        <v/>
      </c>
      <c r="N857" s="33" t="str">
        <f t="shared" si="100"/>
        <v/>
      </c>
      <c r="O857" s="33" t="str">
        <f t="shared" si="101"/>
        <v/>
      </c>
      <c r="P857" t="str">
        <f t="shared" si="102"/>
        <v/>
      </c>
      <c r="Q857" s="33" t="str">
        <f t="shared" si="103"/>
        <v/>
      </c>
      <c r="R857" s="39" t="str">
        <f t="shared" si="104"/>
        <v/>
      </c>
    </row>
    <row r="858" spans="6:18" x14ac:dyDescent="0.25">
      <c r="F858" s="35">
        <v>852</v>
      </c>
      <c r="L858" s="33" t="str">
        <f t="shared" si="98"/>
        <v/>
      </c>
      <c r="M858" t="str">
        <f t="shared" si="99"/>
        <v/>
      </c>
      <c r="N858" s="33" t="str">
        <f t="shared" si="100"/>
        <v/>
      </c>
      <c r="O858" s="33" t="str">
        <f t="shared" si="101"/>
        <v/>
      </c>
      <c r="P858" t="str">
        <f t="shared" si="102"/>
        <v/>
      </c>
      <c r="Q858" s="33" t="str">
        <f t="shared" si="103"/>
        <v/>
      </c>
      <c r="R858" s="39" t="str">
        <f t="shared" si="104"/>
        <v/>
      </c>
    </row>
    <row r="859" spans="6:18" x14ac:dyDescent="0.25">
      <c r="F859" s="35">
        <v>853</v>
      </c>
      <c r="L859" s="33" t="str">
        <f t="shared" si="98"/>
        <v/>
      </c>
      <c r="M859" t="str">
        <f t="shared" si="99"/>
        <v/>
      </c>
      <c r="N859" s="33" t="str">
        <f t="shared" si="100"/>
        <v/>
      </c>
      <c r="O859" s="33" t="str">
        <f t="shared" si="101"/>
        <v/>
      </c>
      <c r="P859" t="str">
        <f t="shared" si="102"/>
        <v/>
      </c>
      <c r="Q859" s="33" t="str">
        <f t="shared" si="103"/>
        <v/>
      </c>
      <c r="R859" s="39" t="str">
        <f t="shared" si="104"/>
        <v/>
      </c>
    </row>
    <row r="860" spans="6:18" x14ac:dyDescent="0.25">
      <c r="F860" s="35">
        <v>854</v>
      </c>
      <c r="L860" s="33" t="str">
        <f t="shared" si="98"/>
        <v/>
      </c>
      <c r="M860" t="str">
        <f t="shared" si="99"/>
        <v/>
      </c>
      <c r="N860" s="33" t="str">
        <f t="shared" si="100"/>
        <v/>
      </c>
      <c r="O860" s="33" t="str">
        <f t="shared" si="101"/>
        <v/>
      </c>
      <c r="P860" t="str">
        <f t="shared" si="102"/>
        <v/>
      </c>
      <c r="Q860" s="33" t="str">
        <f t="shared" si="103"/>
        <v/>
      </c>
      <c r="R860" s="39" t="str">
        <f t="shared" si="104"/>
        <v/>
      </c>
    </row>
    <row r="861" spans="6:18" x14ac:dyDescent="0.25">
      <c r="F861" s="35">
        <v>855</v>
      </c>
      <c r="L861" s="33" t="str">
        <f t="shared" si="98"/>
        <v/>
      </c>
      <c r="M861" t="str">
        <f t="shared" si="99"/>
        <v/>
      </c>
      <c r="N861" s="33" t="str">
        <f t="shared" si="100"/>
        <v/>
      </c>
      <c r="O861" s="33" t="str">
        <f t="shared" si="101"/>
        <v/>
      </c>
      <c r="P861" t="str">
        <f t="shared" si="102"/>
        <v/>
      </c>
      <c r="Q861" s="33" t="str">
        <f t="shared" si="103"/>
        <v/>
      </c>
      <c r="R861" s="39" t="str">
        <f t="shared" si="104"/>
        <v/>
      </c>
    </row>
    <row r="862" spans="6:18" x14ac:dyDescent="0.25">
      <c r="F862" s="35">
        <v>856</v>
      </c>
      <c r="L862" s="33" t="str">
        <f t="shared" si="98"/>
        <v/>
      </c>
      <c r="M862" t="str">
        <f t="shared" si="99"/>
        <v/>
      </c>
      <c r="N862" s="33" t="str">
        <f t="shared" si="100"/>
        <v/>
      </c>
      <c r="O862" s="33" t="str">
        <f t="shared" si="101"/>
        <v/>
      </c>
      <c r="P862" t="str">
        <f t="shared" si="102"/>
        <v/>
      </c>
      <c r="Q862" s="33" t="str">
        <f t="shared" si="103"/>
        <v/>
      </c>
      <c r="R862" s="39" t="str">
        <f t="shared" si="104"/>
        <v/>
      </c>
    </row>
    <row r="863" spans="6:18" x14ac:dyDescent="0.25">
      <c r="F863" s="35">
        <v>857</v>
      </c>
      <c r="L863" s="33" t="str">
        <f t="shared" si="98"/>
        <v/>
      </c>
      <c r="M863" t="str">
        <f t="shared" si="99"/>
        <v/>
      </c>
      <c r="N863" s="33" t="str">
        <f t="shared" si="100"/>
        <v/>
      </c>
      <c r="O863" s="33" t="str">
        <f t="shared" si="101"/>
        <v/>
      </c>
      <c r="P863" t="str">
        <f t="shared" si="102"/>
        <v/>
      </c>
      <c r="Q863" s="33" t="str">
        <f t="shared" si="103"/>
        <v/>
      </c>
      <c r="R863" s="39" t="str">
        <f t="shared" si="104"/>
        <v/>
      </c>
    </row>
    <row r="864" spans="6:18" x14ac:dyDescent="0.25">
      <c r="F864" s="35">
        <v>858</v>
      </c>
      <c r="L864" s="33" t="str">
        <f t="shared" si="98"/>
        <v/>
      </c>
      <c r="M864" t="str">
        <f t="shared" si="99"/>
        <v/>
      </c>
      <c r="N864" s="33" t="str">
        <f t="shared" si="100"/>
        <v/>
      </c>
      <c r="O864" s="33" t="str">
        <f t="shared" si="101"/>
        <v/>
      </c>
      <c r="P864" t="str">
        <f t="shared" si="102"/>
        <v/>
      </c>
      <c r="Q864" s="33" t="str">
        <f t="shared" si="103"/>
        <v/>
      </c>
      <c r="R864" s="39" t="str">
        <f t="shared" si="104"/>
        <v/>
      </c>
    </row>
    <row r="865" spans="6:18" x14ac:dyDescent="0.25">
      <c r="F865" s="35">
        <v>859</v>
      </c>
      <c r="L865" s="33" t="str">
        <f t="shared" si="98"/>
        <v/>
      </c>
      <c r="M865" t="str">
        <f t="shared" si="99"/>
        <v/>
      </c>
      <c r="N865" s="33" t="str">
        <f t="shared" si="100"/>
        <v/>
      </c>
      <c r="O865" s="33" t="str">
        <f t="shared" si="101"/>
        <v/>
      </c>
      <c r="P865" t="str">
        <f t="shared" si="102"/>
        <v/>
      </c>
      <c r="Q865" s="33" t="str">
        <f t="shared" si="103"/>
        <v/>
      </c>
      <c r="R865" s="39" t="str">
        <f t="shared" si="104"/>
        <v/>
      </c>
    </row>
    <row r="866" spans="6:18" x14ac:dyDescent="0.25">
      <c r="F866" s="35">
        <v>860</v>
      </c>
      <c r="L866" s="33" t="str">
        <f t="shared" si="98"/>
        <v/>
      </c>
      <c r="M866" t="str">
        <f t="shared" si="99"/>
        <v/>
      </c>
      <c r="N866" s="33" t="str">
        <f t="shared" si="100"/>
        <v/>
      </c>
      <c r="O866" s="33" t="str">
        <f t="shared" si="101"/>
        <v/>
      </c>
      <c r="P866" t="str">
        <f t="shared" si="102"/>
        <v/>
      </c>
      <c r="Q866" s="33" t="str">
        <f t="shared" si="103"/>
        <v/>
      </c>
      <c r="R866" s="39" t="str">
        <f t="shared" si="104"/>
        <v/>
      </c>
    </row>
    <row r="867" spans="6:18" x14ac:dyDescent="0.25">
      <c r="F867" s="35">
        <v>861</v>
      </c>
      <c r="L867" s="33" t="str">
        <f t="shared" si="98"/>
        <v/>
      </c>
      <c r="M867" t="str">
        <f t="shared" si="99"/>
        <v/>
      </c>
      <c r="N867" s="33" t="str">
        <f t="shared" si="100"/>
        <v/>
      </c>
      <c r="O867" s="33" t="str">
        <f t="shared" si="101"/>
        <v/>
      </c>
      <c r="P867" t="str">
        <f t="shared" si="102"/>
        <v/>
      </c>
      <c r="Q867" s="33" t="str">
        <f t="shared" si="103"/>
        <v/>
      </c>
      <c r="R867" s="39" t="str">
        <f t="shared" si="104"/>
        <v/>
      </c>
    </row>
    <row r="868" spans="6:18" x14ac:dyDescent="0.25">
      <c r="F868" s="35">
        <v>862</v>
      </c>
      <c r="L868" s="33" t="str">
        <f t="shared" si="98"/>
        <v/>
      </c>
      <c r="M868" t="str">
        <f t="shared" si="99"/>
        <v/>
      </c>
      <c r="N868" s="33" t="str">
        <f t="shared" si="100"/>
        <v/>
      </c>
      <c r="O868" s="33" t="str">
        <f t="shared" si="101"/>
        <v/>
      </c>
      <c r="P868" t="str">
        <f t="shared" si="102"/>
        <v/>
      </c>
      <c r="Q868" s="33" t="str">
        <f t="shared" si="103"/>
        <v/>
      </c>
      <c r="R868" s="39" t="str">
        <f t="shared" si="104"/>
        <v/>
      </c>
    </row>
    <row r="869" spans="6:18" x14ac:dyDescent="0.25">
      <c r="F869" s="35">
        <v>863</v>
      </c>
      <c r="L869" s="33" t="str">
        <f t="shared" si="98"/>
        <v/>
      </c>
      <c r="M869" t="str">
        <f t="shared" si="99"/>
        <v/>
      </c>
      <c r="N869" s="33" t="str">
        <f t="shared" si="100"/>
        <v/>
      </c>
      <c r="O869" s="33" t="str">
        <f t="shared" si="101"/>
        <v/>
      </c>
      <c r="P869" t="str">
        <f t="shared" si="102"/>
        <v/>
      </c>
      <c r="Q869" s="33" t="str">
        <f t="shared" si="103"/>
        <v/>
      </c>
      <c r="R869" s="39" t="str">
        <f t="shared" si="104"/>
        <v/>
      </c>
    </row>
    <row r="870" spans="6:18" x14ac:dyDescent="0.25">
      <c r="F870" s="35">
        <v>864</v>
      </c>
      <c r="L870" s="33" t="str">
        <f t="shared" si="98"/>
        <v/>
      </c>
      <c r="M870" t="str">
        <f t="shared" si="99"/>
        <v/>
      </c>
      <c r="N870" s="33" t="str">
        <f t="shared" si="100"/>
        <v/>
      </c>
      <c r="O870" s="33" t="str">
        <f t="shared" si="101"/>
        <v/>
      </c>
      <c r="P870" t="str">
        <f t="shared" si="102"/>
        <v/>
      </c>
      <c r="Q870" s="33" t="str">
        <f t="shared" si="103"/>
        <v/>
      </c>
      <c r="R870" s="39" t="str">
        <f t="shared" si="104"/>
        <v/>
      </c>
    </row>
    <row r="871" spans="6:18" x14ac:dyDescent="0.25">
      <c r="F871" s="35">
        <v>865</v>
      </c>
      <c r="L871" s="33" t="str">
        <f t="shared" si="98"/>
        <v/>
      </c>
      <c r="M871" t="str">
        <f t="shared" si="99"/>
        <v/>
      </c>
      <c r="N871" s="33" t="str">
        <f t="shared" si="100"/>
        <v/>
      </c>
      <c r="O871" s="33" t="str">
        <f t="shared" si="101"/>
        <v/>
      </c>
      <c r="P871" t="str">
        <f t="shared" si="102"/>
        <v/>
      </c>
      <c r="Q871" s="33" t="str">
        <f t="shared" si="103"/>
        <v/>
      </c>
      <c r="R871" s="39" t="str">
        <f t="shared" si="104"/>
        <v/>
      </c>
    </row>
    <row r="872" spans="6:18" x14ac:dyDescent="0.25">
      <c r="F872" s="35">
        <v>866</v>
      </c>
      <c r="L872" s="33" t="str">
        <f t="shared" si="98"/>
        <v/>
      </c>
      <c r="M872" t="str">
        <f t="shared" si="99"/>
        <v/>
      </c>
      <c r="N872" s="33" t="str">
        <f t="shared" si="100"/>
        <v/>
      </c>
      <c r="O872" s="33" t="str">
        <f t="shared" si="101"/>
        <v/>
      </c>
      <c r="P872" t="str">
        <f t="shared" si="102"/>
        <v/>
      </c>
      <c r="Q872" s="33" t="str">
        <f t="shared" si="103"/>
        <v/>
      </c>
      <c r="R872" s="39" t="str">
        <f t="shared" si="104"/>
        <v/>
      </c>
    </row>
    <row r="873" spans="6:18" x14ac:dyDescent="0.25">
      <c r="F873" s="35">
        <v>867</v>
      </c>
      <c r="L873" s="33" t="str">
        <f t="shared" si="98"/>
        <v/>
      </c>
      <c r="M873" t="str">
        <f t="shared" si="99"/>
        <v/>
      </c>
      <c r="N873" s="33" t="str">
        <f t="shared" si="100"/>
        <v/>
      </c>
      <c r="O873" s="33" t="str">
        <f t="shared" si="101"/>
        <v/>
      </c>
      <c r="P873" t="str">
        <f t="shared" si="102"/>
        <v/>
      </c>
      <c r="Q873" s="33" t="str">
        <f t="shared" si="103"/>
        <v/>
      </c>
      <c r="R873" s="39" t="str">
        <f t="shared" si="104"/>
        <v/>
      </c>
    </row>
    <row r="874" spans="6:18" x14ac:dyDescent="0.25">
      <c r="F874" s="35">
        <v>868</v>
      </c>
      <c r="L874" s="33" t="str">
        <f t="shared" si="98"/>
        <v/>
      </c>
      <c r="M874" t="str">
        <f t="shared" si="99"/>
        <v/>
      </c>
      <c r="N874" s="33" t="str">
        <f t="shared" si="100"/>
        <v/>
      </c>
      <c r="O874" s="33" t="str">
        <f t="shared" si="101"/>
        <v/>
      </c>
      <c r="P874" t="str">
        <f t="shared" si="102"/>
        <v/>
      </c>
      <c r="Q874" s="33" t="str">
        <f t="shared" si="103"/>
        <v/>
      </c>
      <c r="R874" s="39" t="str">
        <f t="shared" si="104"/>
        <v/>
      </c>
    </row>
    <row r="875" spans="6:18" x14ac:dyDescent="0.25">
      <c r="F875" s="35">
        <v>869</v>
      </c>
      <c r="L875" s="33" t="str">
        <f t="shared" si="98"/>
        <v/>
      </c>
      <c r="M875" t="str">
        <f t="shared" si="99"/>
        <v/>
      </c>
      <c r="N875" s="33" t="str">
        <f t="shared" si="100"/>
        <v/>
      </c>
      <c r="O875" s="33" t="str">
        <f t="shared" si="101"/>
        <v/>
      </c>
      <c r="P875" t="str">
        <f t="shared" si="102"/>
        <v/>
      </c>
      <c r="Q875" s="33" t="str">
        <f t="shared" si="103"/>
        <v/>
      </c>
      <c r="R875" s="39" t="str">
        <f t="shared" si="104"/>
        <v/>
      </c>
    </row>
    <row r="876" spans="6:18" x14ac:dyDescent="0.25">
      <c r="F876" s="35">
        <v>870</v>
      </c>
      <c r="L876" s="33" t="str">
        <f t="shared" si="98"/>
        <v/>
      </c>
      <c r="M876" t="str">
        <f t="shared" si="99"/>
        <v/>
      </c>
      <c r="N876" s="33" t="str">
        <f t="shared" si="100"/>
        <v/>
      </c>
      <c r="O876" s="33" t="str">
        <f t="shared" si="101"/>
        <v/>
      </c>
      <c r="P876" t="str">
        <f t="shared" si="102"/>
        <v/>
      </c>
      <c r="Q876" s="33" t="str">
        <f t="shared" si="103"/>
        <v/>
      </c>
      <c r="R876" s="39" t="str">
        <f t="shared" si="104"/>
        <v/>
      </c>
    </row>
    <row r="877" spans="6:18" x14ac:dyDescent="0.25">
      <c r="F877" s="35">
        <v>871</v>
      </c>
      <c r="L877" s="33" t="str">
        <f t="shared" si="98"/>
        <v/>
      </c>
      <c r="M877" t="str">
        <f t="shared" si="99"/>
        <v/>
      </c>
      <c r="N877" s="33" t="str">
        <f t="shared" si="100"/>
        <v/>
      </c>
      <c r="O877" s="33" t="str">
        <f t="shared" si="101"/>
        <v/>
      </c>
      <c r="P877" t="str">
        <f t="shared" si="102"/>
        <v/>
      </c>
      <c r="Q877" s="33" t="str">
        <f t="shared" si="103"/>
        <v/>
      </c>
      <c r="R877" s="39" t="str">
        <f t="shared" si="104"/>
        <v/>
      </c>
    </row>
    <row r="878" spans="6:18" x14ac:dyDescent="0.25">
      <c r="F878" s="35">
        <v>872</v>
      </c>
      <c r="L878" s="33" t="str">
        <f t="shared" si="98"/>
        <v/>
      </c>
      <c r="M878" t="str">
        <f t="shared" si="99"/>
        <v/>
      </c>
      <c r="N878" s="33" t="str">
        <f t="shared" si="100"/>
        <v/>
      </c>
      <c r="O878" s="33" t="str">
        <f t="shared" si="101"/>
        <v/>
      </c>
      <c r="P878" t="str">
        <f t="shared" si="102"/>
        <v/>
      </c>
      <c r="Q878" s="33" t="str">
        <f t="shared" si="103"/>
        <v/>
      </c>
      <c r="R878" s="39" t="str">
        <f t="shared" si="104"/>
        <v/>
      </c>
    </row>
    <row r="879" spans="6:18" x14ac:dyDescent="0.25">
      <c r="F879" s="35">
        <v>873</v>
      </c>
      <c r="L879" s="33" t="str">
        <f t="shared" si="98"/>
        <v/>
      </c>
      <c r="M879" t="str">
        <f t="shared" si="99"/>
        <v/>
      </c>
      <c r="N879" s="33" t="str">
        <f t="shared" si="100"/>
        <v/>
      </c>
      <c r="O879" s="33" t="str">
        <f t="shared" si="101"/>
        <v/>
      </c>
      <c r="P879" t="str">
        <f t="shared" si="102"/>
        <v/>
      </c>
      <c r="Q879" s="33" t="str">
        <f t="shared" si="103"/>
        <v/>
      </c>
      <c r="R879" s="39" t="str">
        <f t="shared" si="104"/>
        <v/>
      </c>
    </row>
    <row r="880" spans="6:18" x14ac:dyDescent="0.25">
      <c r="F880" s="35">
        <v>874</v>
      </c>
      <c r="L880" s="33" t="str">
        <f t="shared" si="98"/>
        <v/>
      </c>
      <c r="M880" t="str">
        <f t="shared" si="99"/>
        <v/>
      </c>
      <c r="N880" s="33" t="str">
        <f t="shared" si="100"/>
        <v/>
      </c>
      <c r="O880" s="33" t="str">
        <f t="shared" si="101"/>
        <v/>
      </c>
      <c r="P880" t="str">
        <f t="shared" si="102"/>
        <v/>
      </c>
      <c r="Q880" s="33" t="str">
        <f t="shared" si="103"/>
        <v/>
      </c>
      <c r="R880" s="39" t="str">
        <f t="shared" si="104"/>
        <v/>
      </c>
    </row>
    <row r="881" spans="6:18" x14ac:dyDescent="0.25">
      <c r="F881" s="35">
        <v>875</v>
      </c>
      <c r="L881" s="33" t="str">
        <f t="shared" si="98"/>
        <v/>
      </c>
      <c r="M881" t="str">
        <f t="shared" si="99"/>
        <v/>
      </c>
      <c r="N881" s="33" t="str">
        <f t="shared" si="100"/>
        <v/>
      </c>
      <c r="O881" s="33" t="str">
        <f t="shared" si="101"/>
        <v/>
      </c>
      <c r="P881" t="str">
        <f t="shared" si="102"/>
        <v/>
      </c>
      <c r="Q881" s="33" t="str">
        <f t="shared" si="103"/>
        <v/>
      </c>
      <c r="R881" s="39" t="str">
        <f t="shared" si="104"/>
        <v/>
      </c>
    </row>
    <row r="882" spans="6:18" x14ac:dyDescent="0.25">
      <c r="F882" s="35">
        <v>876</v>
      </c>
      <c r="L882" s="33" t="str">
        <f t="shared" si="98"/>
        <v/>
      </c>
      <c r="M882" t="str">
        <f t="shared" si="99"/>
        <v/>
      </c>
      <c r="N882" s="33" t="str">
        <f t="shared" si="100"/>
        <v/>
      </c>
      <c r="O882" s="33" t="str">
        <f t="shared" si="101"/>
        <v/>
      </c>
      <c r="P882" t="str">
        <f t="shared" si="102"/>
        <v/>
      </c>
      <c r="Q882" s="33" t="str">
        <f t="shared" si="103"/>
        <v/>
      </c>
      <c r="R882" s="39" t="str">
        <f t="shared" si="104"/>
        <v/>
      </c>
    </row>
    <row r="883" spans="6:18" x14ac:dyDescent="0.25">
      <c r="F883" s="35">
        <v>877</v>
      </c>
      <c r="L883" s="33" t="str">
        <f t="shared" si="98"/>
        <v/>
      </c>
      <c r="M883" t="str">
        <f t="shared" si="99"/>
        <v/>
      </c>
      <c r="N883" s="33" t="str">
        <f t="shared" si="100"/>
        <v/>
      </c>
      <c r="O883" s="33" t="str">
        <f t="shared" si="101"/>
        <v/>
      </c>
      <c r="P883" t="str">
        <f t="shared" si="102"/>
        <v/>
      </c>
      <c r="Q883" s="33" t="str">
        <f t="shared" si="103"/>
        <v/>
      </c>
      <c r="R883" s="39" t="str">
        <f t="shared" si="104"/>
        <v/>
      </c>
    </row>
    <row r="884" spans="6:18" x14ac:dyDescent="0.25">
      <c r="F884" s="35">
        <v>878</v>
      </c>
      <c r="L884" s="33" t="str">
        <f t="shared" si="98"/>
        <v/>
      </c>
      <c r="M884" t="str">
        <f t="shared" si="99"/>
        <v/>
      </c>
      <c r="N884" s="33" t="str">
        <f t="shared" si="100"/>
        <v/>
      </c>
      <c r="O884" s="33" t="str">
        <f t="shared" si="101"/>
        <v/>
      </c>
      <c r="P884" t="str">
        <f t="shared" si="102"/>
        <v/>
      </c>
      <c r="Q884" s="33" t="str">
        <f t="shared" si="103"/>
        <v/>
      </c>
      <c r="R884" s="39" t="str">
        <f t="shared" si="104"/>
        <v/>
      </c>
    </row>
    <row r="885" spans="6:18" x14ac:dyDescent="0.25">
      <c r="F885" s="35">
        <v>879</v>
      </c>
      <c r="L885" s="33" t="str">
        <f t="shared" si="98"/>
        <v/>
      </c>
      <c r="M885" t="str">
        <f t="shared" si="99"/>
        <v/>
      </c>
      <c r="N885" s="33" t="str">
        <f t="shared" si="100"/>
        <v/>
      </c>
      <c r="O885" s="33" t="str">
        <f t="shared" si="101"/>
        <v/>
      </c>
      <c r="P885" t="str">
        <f t="shared" si="102"/>
        <v/>
      </c>
      <c r="Q885" s="33" t="str">
        <f t="shared" si="103"/>
        <v/>
      </c>
      <c r="R885" s="39" t="str">
        <f t="shared" si="104"/>
        <v/>
      </c>
    </row>
    <row r="886" spans="6:18" x14ac:dyDescent="0.25">
      <c r="F886" s="35">
        <v>880</v>
      </c>
      <c r="L886" s="33" t="str">
        <f t="shared" si="98"/>
        <v/>
      </c>
      <c r="M886" t="str">
        <f t="shared" si="99"/>
        <v/>
      </c>
      <c r="N886" s="33" t="str">
        <f t="shared" si="100"/>
        <v/>
      </c>
      <c r="O886" s="33" t="str">
        <f t="shared" si="101"/>
        <v/>
      </c>
      <c r="P886" t="str">
        <f t="shared" si="102"/>
        <v/>
      </c>
      <c r="Q886" s="33" t="str">
        <f t="shared" si="103"/>
        <v/>
      </c>
      <c r="R886" s="39" t="str">
        <f t="shared" si="104"/>
        <v/>
      </c>
    </row>
    <row r="887" spans="6:18" x14ac:dyDescent="0.25">
      <c r="F887" s="35">
        <v>881</v>
      </c>
      <c r="L887" s="33" t="str">
        <f t="shared" si="98"/>
        <v/>
      </c>
      <c r="M887" t="str">
        <f t="shared" si="99"/>
        <v/>
      </c>
      <c r="N887" s="33" t="str">
        <f t="shared" si="100"/>
        <v/>
      </c>
      <c r="O887" s="33" t="str">
        <f t="shared" si="101"/>
        <v/>
      </c>
      <c r="P887" t="str">
        <f t="shared" si="102"/>
        <v/>
      </c>
      <c r="Q887" s="33" t="str">
        <f t="shared" si="103"/>
        <v/>
      </c>
      <c r="R887" s="39" t="str">
        <f t="shared" si="104"/>
        <v/>
      </c>
    </row>
    <row r="888" spans="6:18" x14ac:dyDescent="0.25">
      <c r="F888" s="35">
        <v>882</v>
      </c>
      <c r="L888" s="33" t="str">
        <f t="shared" si="98"/>
        <v/>
      </c>
      <c r="M888" t="str">
        <f t="shared" si="99"/>
        <v/>
      </c>
      <c r="N888" s="33" t="str">
        <f t="shared" si="100"/>
        <v/>
      </c>
      <c r="O888" s="33" t="str">
        <f t="shared" si="101"/>
        <v/>
      </c>
      <c r="P888" t="str">
        <f t="shared" si="102"/>
        <v/>
      </c>
      <c r="Q888" s="33" t="str">
        <f t="shared" si="103"/>
        <v/>
      </c>
      <c r="R888" s="39" t="str">
        <f t="shared" si="104"/>
        <v/>
      </c>
    </row>
    <row r="889" spans="6:18" x14ac:dyDescent="0.25">
      <c r="F889" s="35">
        <v>883</v>
      </c>
      <c r="L889" s="33" t="str">
        <f t="shared" si="98"/>
        <v/>
      </c>
      <c r="M889" t="str">
        <f t="shared" si="99"/>
        <v/>
      </c>
      <c r="N889" s="33" t="str">
        <f t="shared" si="100"/>
        <v/>
      </c>
      <c r="O889" s="33" t="str">
        <f t="shared" si="101"/>
        <v/>
      </c>
      <c r="P889" t="str">
        <f t="shared" si="102"/>
        <v/>
      </c>
      <c r="Q889" s="33" t="str">
        <f t="shared" si="103"/>
        <v/>
      </c>
      <c r="R889" s="39" t="str">
        <f t="shared" si="104"/>
        <v/>
      </c>
    </row>
    <row r="890" spans="6:18" x14ac:dyDescent="0.25">
      <c r="F890" s="35">
        <v>884</v>
      </c>
      <c r="L890" s="33" t="str">
        <f t="shared" si="98"/>
        <v/>
      </c>
      <c r="M890" t="str">
        <f t="shared" si="99"/>
        <v/>
      </c>
      <c r="N890" s="33" t="str">
        <f t="shared" si="100"/>
        <v/>
      </c>
      <c r="O890" s="33" t="str">
        <f t="shared" si="101"/>
        <v/>
      </c>
      <c r="P890" t="str">
        <f t="shared" si="102"/>
        <v/>
      </c>
      <c r="Q890" s="33" t="str">
        <f t="shared" si="103"/>
        <v/>
      </c>
      <c r="R890" s="39" t="str">
        <f t="shared" si="104"/>
        <v/>
      </c>
    </row>
    <row r="891" spans="6:18" x14ac:dyDescent="0.25">
      <c r="F891" s="35">
        <v>885</v>
      </c>
      <c r="L891" s="33" t="str">
        <f t="shared" si="98"/>
        <v/>
      </c>
      <c r="M891" t="str">
        <f t="shared" si="99"/>
        <v/>
      </c>
      <c r="N891" s="33" t="str">
        <f t="shared" si="100"/>
        <v/>
      </c>
      <c r="O891" s="33" t="str">
        <f t="shared" si="101"/>
        <v/>
      </c>
      <c r="P891" t="str">
        <f t="shared" si="102"/>
        <v/>
      </c>
      <c r="Q891" s="33" t="str">
        <f t="shared" si="103"/>
        <v/>
      </c>
      <c r="R891" s="39" t="str">
        <f t="shared" si="104"/>
        <v/>
      </c>
    </row>
    <row r="892" spans="6:18" x14ac:dyDescent="0.25">
      <c r="F892" s="35">
        <v>886</v>
      </c>
      <c r="L892" s="33" t="str">
        <f t="shared" si="98"/>
        <v/>
      </c>
      <c r="M892" t="str">
        <f t="shared" si="99"/>
        <v/>
      </c>
      <c r="N892" s="33" t="str">
        <f t="shared" si="100"/>
        <v/>
      </c>
      <c r="O892" s="33" t="str">
        <f t="shared" si="101"/>
        <v/>
      </c>
      <c r="P892" t="str">
        <f t="shared" si="102"/>
        <v/>
      </c>
      <c r="Q892" s="33" t="str">
        <f t="shared" si="103"/>
        <v/>
      </c>
      <c r="R892" s="39" t="str">
        <f t="shared" si="104"/>
        <v/>
      </c>
    </row>
    <row r="893" spans="6:18" x14ac:dyDescent="0.25">
      <c r="F893" s="35">
        <v>887</v>
      </c>
      <c r="L893" s="33" t="str">
        <f t="shared" si="98"/>
        <v/>
      </c>
      <c r="M893" t="str">
        <f t="shared" si="99"/>
        <v/>
      </c>
      <c r="N893" s="33" t="str">
        <f t="shared" si="100"/>
        <v/>
      </c>
      <c r="O893" s="33" t="str">
        <f t="shared" si="101"/>
        <v/>
      </c>
      <c r="P893" t="str">
        <f t="shared" si="102"/>
        <v/>
      </c>
      <c r="Q893" s="33" t="str">
        <f t="shared" si="103"/>
        <v/>
      </c>
      <c r="R893" s="39" t="str">
        <f t="shared" si="104"/>
        <v/>
      </c>
    </row>
    <row r="894" spans="6:18" x14ac:dyDescent="0.25">
      <c r="F894" s="35">
        <v>888</v>
      </c>
      <c r="L894" s="33" t="str">
        <f t="shared" si="98"/>
        <v/>
      </c>
      <c r="M894" t="str">
        <f t="shared" si="99"/>
        <v/>
      </c>
      <c r="N894" s="33" t="str">
        <f t="shared" si="100"/>
        <v/>
      </c>
      <c r="O894" s="33" t="str">
        <f t="shared" si="101"/>
        <v/>
      </c>
      <c r="P894" t="str">
        <f t="shared" si="102"/>
        <v/>
      </c>
      <c r="Q894" s="33" t="str">
        <f t="shared" si="103"/>
        <v/>
      </c>
      <c r="R894" s="39" t="str">
        <f t="shared" si="104"/>
        <v/>
      </c>
    </row>
    <row r="895" spans="6:18" x14ac:dyDescent="0.25">
      <c r="F895" s="35">
        <v>889</v>
      </c>
      <c r="L895" s="33" t="str">
        <f t="shared" si="98"/>
        <v/>
      </c>
      <c r="M895" t="str">
        <f t="shared" si="99"/>
        <v/>
      </c>
      <c r="N895" s="33" t="str">
        <f t="shared" si="100"/>
        <v/>
      </c>
      <c r="O895" s="33" t="str">
        <f t="shared" si="101"/>
        <v/>
      </c>
      <c r="P895" t="str">
        <f t="shared" si="102"/>
        <v/>
      </c>
      <c r="Q895" s="33" t="str">
        <f t="shared" si="103"/>
        <v/>
      </c>
      <c r="R895" s="39" t="str">
        <f t="shared" si="104"/>
        <v/>
      </c>
    </row>
    <row r="896" spans="6:18" x14ac:dyDescent="0.25">
      <c r="F896" s="35">
        <v>890</v>
      </c>
      <c r="L896" s="33" t="str">
        <f t="shared" si="98"/>
        <v/>
      </c>
      <c r="M896" t="str">
        <f t="shared" si="99"/>
        <v/>
      </c>
      <c r="N896" s="33" t="str">
        <f t="shared" si="100"/>
        <v/>
      </c>
      <c r="O896" s="33" t="str">
        <f t="shared" si="101"/>
        <v/>
      </c>
      <c r="P896" t="str">
        <f t="shared" si="102"/>
        <v/>
      </c>
      <c r="Q896" s="33" t="str">
        <f t="shared" si="103"/>
        <v/>
      </c>
      <c r="R896" s="39" t="str">
        <f t="shared" si="104"/>
        <v/>
      </c>
    </row>
    <row r="897" spans="6:18" x14ac:dyDescent="0.25">
      <c r="F897" s="35">
        <v>891</v>
      </c>
      <c r="L897" s="33" t="str">
        <f t="shared" si="98"/>
        <v/>
      </c>
      <c r="M897" t="str">
        <f t="shared" si="99"/>
        <v/>
      </c>
      <c r="N897" s="33" t="str">
        <f t="shared" si="100"/>
        <v/>
      </c>
      <c r="O897" s="33" t="str">
        <f t="shared" si="101"/>
        <v/>
      </c>
      <c r="P897" t="str">
        <f t="shared" si="102"/>
        <v/>
      </c>
      <c r="Q897" s="33" t="str">
        <f t="shared" si="103"/>
        <v/>
      </c>
      <c r="R897" s="39" t="str">
        <f t="shared" si="104"/>
        <v/>
      </c>
    </row>
    <row r="898" spans="6:18" x14ac:dyDescent="0.25">
      <c r="F898" s="35">
        <v>892</v>
      </c>
      <c r="L898" s="33" t="str">
        <f t="shared" si="98"/>
        <v/>
      </c>
      <c r="M898" t="str">
        <f t="shared" si="99"/>
        <v/>
      </c>
      <c r="N898" s="33" t="str">
        <f t="shared" si="100"/>
        <v/>
      </c>
      <c r="O898" s="33" t="str">
        <f t="shared" si="101"/>
        <v/>
      </c>
      <c r="P898" t="str">
        <f t="shared" si="102"/>
        <v/>
      </c>
      <c r="Q898" s="33" t="str">
        <f t="shared" si="103"/>
        <v/>
      </c>
      <c r="R898" s="39" t="str">
        <f t="shared" si="104"/>
        <v/>
      </c>
    </row>
    <row r="899" spans="6:18" x14ac:dyDescent="0.25">
      <c r="F899" s="35">
        <v>893</v>
      </c>
      <c r="L899" s="33" t="str">
        <f t="shared" si="98"/>
        <v/>
      </c>
      <c r="M899" t="str">
        <f t="shared" si="99"/>
        <v/>
      </c>
      <c r="N899" s="33" t="str">
        <f t="shared" si="100"/>
        <v/>
      </c>
      <c r="O899" s="33" t="str">
        <f t="shared" si="101"/>
        <v/>
      </c>
      <c r="P899" t="str">
        <f t="shared" si="102"/>
        <v/>
      </c>
      <c r="Q899" s="33" t="str">
        <f t="shared" si="103"/>
        <v/>
      </c>
      <c r="R899" s="39" t="str">
        <f t="shared" si="104"/>
        <v/>
      </c>
    </row>
    <row r="900" spans="6:18" x14ac:dyDescent="0.25">
      <c r="F900" s="35">
        <v>894</v>
      </c>
      <c r="L900" s="33" t="str">
        <f t="shared" si="98"/>
        <v/>
      </c>
      <c r="M900" t="str">
        <f t="shared" si="99"/>
        <v/>
      </c>
      <c r="N900" s="33" t="str">
        <f t="shared" si="100"/>
        <v/>
      </c>
      <c r="O900" s="33" t="str">
        <f t="shared" si="101"/>
        <v/>
      </c>
      <c r="P900" t="str">
        <f t="shared" si="102"/>
        <v/>
      </c>
      <c r="Q900" s="33" t="str">
        <f t="shared" si="103"/>
        <v/>
      </c>
      <c r="R900" s="39" t="str">
        <f t="shared" si="104"/>
        <v/>
      </c>
    </row>
    <row r="901" spans="6:18" x14ac:dyDescent="0.25">
      <c r="F901" s="35">
        <v>895</v>
      </c>
      <c r="L901" s="33" t="str">
        <f t="shared" si="98"/>
        <v/>
      </c>
      <c r="M901" t="str">
        <f t="shared" si="99"/>
        <v/>
      </c>
      <c r="N901" s="33" t="str">
        <f t="shared" si="100"/>
        <v/>
      </c>
      <c r="O901" s="33" t="str">
        <f t="shared" si="101"/>
        <v/>
      </c>
      <c r="P901" t="str">
        <f t="shared" si="102"/>
        <v/>
      </c>
      <c r="Q901" s="33" t="str">
        <f t="shared" si="103"/>
        <v/>
      </c>
      <c r="R901" s="39" t="str">
        <f t="shared" si="104"/>
        <v/>
      </c>
    </row>
    <row r="902" spans="6:18" x14ac:dyDescent="0.25">
      <c r="F902" s="35">
        <v>896</v>
      </c>
      <c r="L902" s="33" t="str">
        <f t="shared" si="98"/>
        <v/>
      </c>
      <c r="M902" t="str">
        <f t="shared" si="99"/>
        <v/>
      </c>
      <c r="N902" s="33" t="str">
        <f t="shared" si="100"/>
        <v/>
      </c>
      <c r="O902" s="33" t="str">
        <f t="shared" si="101"/>
        <v/>
      </c>
      <c r="P902" t="str">
        <f t="shared" si="102"/>
        <v/>
      </c>
      <c r="Q902" s="33" t="str">
        <f t="shared" si="103"/>
        <v/>
      </c>
      <c r="R902" s="39" t="str">
        <f t="shared" si="104"/>
        <v/>
      </c>
    </row>
    <row r="903" spans="6:18" x14ac:dyDescent="0.25">
      <c r="F903" s="35">
        <v>897</v>
      </c>
      <c r="L903" s="33" t="str">
        <f t="shared" si="98"/>
        <v/>
      </c>
      <c r="M903" t="str">
        <f t="shared" si="99"/>
        <v/>
      </c>
      <c r="N903" s="33" t="str">
        <f t="shared" si="100"/>
        <v/>
      </c>
      <c r="O903" s="33" t="str">
        <f t="shared" si="101"/>
        <v/>
      </c>
      <c r="P903" t="str">
        <f t="shared" si="102"/>
        <v/>
      </c>
      <c r="Q903" s="33" t="str">
        <f t="shared" si="103"/>
        <v/>
      </c>
      <c r="R903" s="39" t="str">
        <f t="shared" si="104"/>
        <v/>
      </c>
    </row>
    <row r="904" spans="6:18" x14ac:dyDescent="0.25">
      <c r="F904" s="35">
        <v>898</v>
      </c>
      <c r="L904" s="33" t="str">
        <f t="shared" ref="L904:L967" si="105">IF(G904="","",$C$4*$C$6*$C$7/360)</f>
        <v/>
      </c>
      <c r="M904" t="str">
        <f t="shared" ref="M904:M967" si="106">IF(G904="","",IF(H904=$G$2,100,0))</f>
        <v/>
      </c>
      <c r="N904" s="33" t="str">
        <f t="shared" ref="N904:N967" si="107">IF(G904="","",L904+M904)</f>
        <v/>
      </c>
      <c r="O904" s="33" t="str">
        <f t="shared" ref="O904:O967" si="108">IF(G904="","",1/(1+$C$5*K904/360)^(J904/K904))</f>
        <v/>
      </c>
      <c r="P904" t="str">
        <f t="shared" ref="P904:P967" si="109">IF(G904="","",H904-$C$12)</f>
        <v/>
      </c>
      <c r="Q904" s="33" t="str">
        <f t="shared" ref="Q904:Q967" si="110">IF(G904="","",(P904/K904))</f>
        <v/>
      </c>
      <c r="R904" s="39" t="str">
        <f t="shared" ref="R904:R967" si="111">IF(G904="","",N904*O904)</f>
        <v/>
      </c>
    </row>
    <row r="905" spans="6:18" x14ac:dyDescent="0.25">
      <c r="F905" s="35">
        <v>899</v>
      </c>
      <c r="L905" s="33" t="str">
        <f t="shared" si="105"/>
        <v/>
      </c>
      <c r="M905" t="str">
        <f t="shared" si="106"/>
        <v/>
      </c>
      <c r="N905" s="33" t="str">
        <f t="shared" si="107"/>
        <v/>
      </c>
      <c r="O905" s="33" t="str">
        <f t="shared" si="108"/>
        <v/>
      </c>
      <c r="P905" t="str">
        <f t="shared" si="109"/>
        <v/>
      </c>
      <c r="Q905" s="33" t="str">
        <f t="shared" si="110"/>
        <v/>
      </c>
      <c r="R905" s="39" t="str">
        <f t="shared" si="111"/>
        <v/>
      </c>
    </row>
    <row r="906" spans="6:18" x14ac:dyDescent="0.25">
      <c r="F906" s="35">
        <v>900</v>
      </c>
      <c r="L906" s="33" t="str">
        <f t="shared" si="105"/>
        <v/>
      </c>
      <c r="M906" t="str">
        <f t="shared" si="106"/>
        <v/>
      </c>
      <c r="N906" s="33" t="str">
        <f t="shared" si="107"/>
        <v/>
      </c>
      <c r="O906" s="33" t="str">
        <f t="shared" si="108"/>
        <v/>
      </c>
      <c r="P906" t="str">
        <f t="shared" si="109"/>
        <v/>
      </c>
      <c r="Q906" s="33" t="str">
        <f t="shared" si="110"/>
        <v/>
      </c>
      <c r="R906" s="39" t="str">
        <f t="shared" si="111"/>
        <v/>
      </c>
    </row>
    <row r="907" spans="6:18" x14ac:dyDescent="0.25">
      <c r="F907" s="35">
        <v>901</v>
      </c>
      <c r="L907" s="33" t="str">
        <f t="shared" si="105"/>
        <v/>
      </c>
      <c r="M907" t="str">
        <f t="shared" si="106"/>
        <v/>
      </c>
      <c r="N907" s="33" t="str">
        <f t="shared" si="107"/>
        <v/>
      </c>
      <c r="O907" s="33" t="str">
        <f t="shared" si="108"/>
        <v/>
      </c>
      <c r="P907" t="str">
        <f t="shared" si="109"/>
        <v/>
      </c>
      <c r="Q907" s="33" t="str">
        <f t="shared" si="110"/>
        <v/>
      </c>
      <c r="R907" s="39" t="str">
        <f t="shared" si="111"/>
        <v/>
      </c>
    </row>
    <row r="908" spans="6:18" x14ac:dyDescent="0.25">
      <c r="F908" s="35">
        <v>902</v>
      </c>
      <c r="L908" s="33" t="str">
        <f t="shared" si="105"/>
        <v/>
      </c>
      <c r="M908" t="str">
        <f t="shared" si="106"/>
        <v/>
      </c>
      <c r="N908" s="33" t="str">
        <f t="shared" si="107"/>
        <v/>
      </c>
      <c r="O908" s="33" t="str">
        <f t="shared" si="108"/>
        <v/>
      </c>
      <c r="P908" t="str">
        <f t="shared" si="109"/>
        <v/>
      </c>
      <c r="Q908" s="33" t="str">
        <f t="shared" si="110"/>
        <v/>
      </c>
      <c r="R908" s="39" t="str">
        <f t="shared" si="111"/>
        <v/>
      </c>
    </row>
    <row r="909" spans="6:18" x14ac:dyDescent="0.25">
      <c r="F909" s="35">
        <v>903</v>
      </c>
      <c r="L909" s="33" t="str">
        <f t="shared" si="105"/>
        <v/>
      </c>
      <c r="M909" t="str">
        <f t="shared" si="106"/>
        <v/>
      </c>
      <c r="N909" s="33" t="str">
        <f t="shared" si="107"/>
        <v/>
      </c>
      <c r="O909" s="33" t="str">
        <f t="shared" si="108"/>
        <v/>
      </c>
      <c r="P909" t="str">
        <f t="shared" si="109"/>
        <v/>
      </c>
      <c r="Q909" s="33" t="str">
        <f t="shared" si="110"/>
        <v/>
      </c>
      <c r="R909" s="39" t="str">
        <f t="shared" si="111"/>
        <v/>
      </c>
    </row>
    <row r="910" spans="6:18" x14ac:dyDescent="0.25">
      <c r="F910" s="35">
        <v>904</v>
      </c>
      <c r="L910" s="33" t="str">
        <f t="shared" si="105"/>
        <v/>
      </c>
      <c r="M910" t="str">
        <f t="shared" si="106"/>
        <v/>
      </c>
      <c r="N910" s="33" t="str">
        <f t="shared" si="107"/>
        <v/>
      </c>
      <c r="O910" s="33" t="str">
        <f t="shared" si="108"/>
        <v/>
      </c>
      <c r="P910" t="str">
        <f t="shared" si="109"/>
        <v/>
      </c>
      <c r="Q910" s="33" t="str">
        <f t="shared" si="110"/>
        <v/>
      </c>
      <c r="R910" s="39" t="str">
        <f t="shared" si="111"/>
        <v/>
      </c>
    </row>
    <row r="911" spans="6:18" x14ac:dyDescent="0.25">
      <c r="F911" s="35">
        <v>905</v>
      </c>
      <c r="L911" s="33" t="str">
        <f t="shared" si="105"/>
        <v/>
      </c>
      <c r="M911" t="str">
        <f t="shared" si="106"/>
        <v/>
      </c>
      <c r="N911" s="33" t="str">
        <f t="shared" si="107"/>
        <v/>
      </c>
      <c r="O911" s="33" t="str">
        <f t="shared" si="108"/>
        <v/>
      </c>
      <c r="P911" t="str">
        <f t="shared" si="109"/>
        <v/>
      </c>
      <c r="Q911" s="33" t="str">
        <f t="shared" si="110"/>
        <v/>
      </c>
      <c r="R911" s="39" t="str">
        <f t="shared" si="111"/>
        <v/>
      </c>
    </row>
    <row r="912" spans="6:18" x14ac:dyDescent="0.25">
      <c r="F912" s="35">
        <v>906</v>
      </c>
      <c r="L912" s="33" t="str">
        <f t="shared" si="105"/>
        <v/>
      </c>
      <c r="M912" t="str">
        <f t="shared" si="106"/>
        <v/>
      </c>
      <c r="N912" s="33" t="str">
        <f t="shared" si="107"/>
        <v/>
      </c>
      <c r="O912" s="33" t="str">
        <f t="shared" si="108"/>
        <v/>
      </c>
      <c r="P912" t="str">
        <f t="shared" si="109"/>
        <v/>
      </c>
      <c r="Q912" s="33" t="str">
        <f t="shared" si="110"/>
        <v/>
      </c>
      <c r="R912" s="39" t="str">
        <f t="shared" si="111"/>
        <v/>
      </c>
    </row>
    <row r="913" spans="6:18" x14ac:dyDescent="0.25">
      <c r="F913" s="35">
        <v>907</v>
      </c>
      <c r="L913" s="33" t="str">
        <f t="shared" si="105"/>
        <v/>
      </c>
      <c r="M913" t="str">
        <f t="shared" si="106"/>
        <v/>
      </c>
      <c r="N913" s="33" t="str">
        <f t="shared" si="107"/>
        <v/>
      </c>
      <c r="O913" s="33" t="str">
        <f t="shared" si="108"/>
        <v/>
      </c>
      <c r="P913" t="str">
        <f t="shared" si="109"/>
        <v/>
      </c>
      <c r="Q913" s="33" t="str">
        <f t="shared" si="110"/>
        <v/>
      </c>
      <c r="R913" s="39" t="str">
        <f t="shared" si="111"/>
        <v/>
      </c>
    </row>
    <row r="914" spans="6:18" x14ac:dyDescent="0.25">
      <c r="F914" s="35">
        <v>908</v>
      </c>
      <c r="L914" s="33" t="str">
        <f t="shared" si="105"/>
        <v/>
      </c>
      <c r="M914" t="str">
        <f t="shared" si="106"/>
        <v/>
      </c>
      <c r="N914" s="33" t="str">
        <f t="shared" si="107"/>
        <v/>
      </c>
      <c r="O914" s="33" t="str">
        <f t="shared" si="108"/>
        <v/>
      </c>
      <c r="P914" t="str">
        <f t="shared" si="109"/>
        <v/>
      </c>
      <c r="Q914" s="33" t="str">
        <f t="shared" si="110"/>
        <v/>
      </c>
      <c r="R914" s="39" t="str">
        <f t="shared" si="111"/>
        <v/>
      </c>
    </row>
    <row r="915" spans="6:18" x14ac:dyDescent="0.25">
      <c r="F915" s="35">
        <v>909</v>
      </c>
      <c r="L915" s="33" t="str">
        <f t="shared" si="105"/>
        <v/>
      </c>
      <c r="M915" t="str">
        <f t="shared" si="106"/>
        <v/>
      </c>
      <c r="N915" s="33" t="str">
        <f t="shared" si="107"/>
        <v/>
      </c>
      <c r="O915" s="33" t="str">
        <f t="shared" si="108"/>
        <v/>
      </c>
      <c r="P915" t="str">
        <f t="shared" si="109"/>
        <v/>
      </c>
      <c r="Q915" s="33" t="str">
        <f t="shared" si="110"/>
        <v/>
      </c>
      <c r="R915" s="39" t="str">
        <f t="shared" si="111"/>
        <v/>
      </c>
    </row>
    <row r="916" spans="6:18" x14ac:dyDescent="0.25">
      <c r="F916" s="35">
        <v>910</v>
      </c>
      <c r="L916" s="33" t="str">
        <f t="shared" si="105"/>
        <v/>
      </c>
      <c r="M916" t="str">
        <f t="shared" si="106"/>
        <v/>
      </c>
      <c r="N916" s="33" t="str">
        <f t="shared" si="107"/>
        <v/>
      </c>
      <c r="O916" s="33" t="str">
        <f t="shared" si="108"/>
        <v/>
      </c>
      <c r="P916" t="str">
        <f t="shared" si="109"/>
        <v/>
      </c>
      <c r="Q916" s="33" t="str">
        <f t="shared" si="110"/>
        <v/>
      </c>
      <c r="R916" s="39" t="str">
        <f t="shared" si="111"/>
        <v/>
      </c>
    </row>
    <row r="917" spans="6:18" x14ac:dyDescent="0.25">
      <c r="F917" s="35">
        <v>911</v>
      </c>
      <c r="L917" s="33" t="str">
        <f t="shared" si="105"/>
        <v/>
      </c>
      <c r="M917" t="str">
        <f t="shared" si="106"/>
        <v/>
      </c>
      <c r="N917" s="33" t="str">
        <f t="shared" si="107"/>
        <v/>
      </c>
      <c r="O917" s="33" t="str">
        <f t="shared" si="108"/>
        <v/>
      </c>
      <c r="P917" t="str">
        <f t="shared" si="109"/>
        <v/>
      </c>
      <c r="Q917" s="33" t="str">
        <f t="shared" si="110"/>
        <v/>
      </c>
      <c r="R917" s="39" t="str">
        <f t="shared" si="111"/>
        <v/>
      </c>
    </row>
    <row r="918" spans="6:18" x14ac:dyDescent="0.25">
      <c r="F918" s="35">
        <v>912</v>
      </c>
      <c r="L918" s="33" t="str">
        <f t="shared" si="105"/>
        <v/>
      </c>
      <c r="M918" t="str">
        <f t="shared" si="106"/>
        <v/>
      </c>
      <c r="N918" s="33" t="str">
        <f t="shared" si="107"/>
        <v/>
      </c>
      <c r="O918" s="33" t="str">
        <f t="shared" si="108"/>
        <v/>
      </c>
      <c r="P918" t="str">
        <f t="shared" si="109"/>
        <v/>
      </c>
      <c r="Q918" s="33" t="str">
        <f t="shared" si="110"/>
        <v/>
      </c>
      <c r="R918" s="39" t="str">
        <f t="shared" si="111"/>
        <v/>
      </c>
    </row>
    <row r="919" spans="6:18" x14ac:dyDescent="0.25">
      <c r="F919" s="35">
        <v>913</v>
      </c>
      <c r="L919" s="33" t="str">
        <f t="shared" si="105"/>
        <v/>
      </c>
      <c r="M919" t="str">
        <f t="shared" si="106"/>
        <v/>
      </c>
      <c r="N919" s="33" t="str">
        <f t="shared" si="107"/>
        <v/>
      </c>
      <c r="O919" s="33" t="str">
        <f t="shared" si="108"/>
        <v/>
      </c>
      <c r="P919" t="str">
        <f t="shared" si="109"/>
        <v/>
      </c>
      <c r="Q919" s="33" t="str">
        <f t="shared" si="110"/>
        <v/>
      </c>
      <c r="R919" s="39" t="str">
        <f t="shared" si="111"/>
        <v/>
      </c>
    </row>
    <row r="920" spans="6:18" x14ac:dyDescent="0.25">
      <c r="F920" s="35">
        <v>914</v>
      </c>
      <c r="L920" s="33" t="str">
        <f t="shared" si="105"/>
        <v/>
      </c>
      <c r="M920" t="str">
        <f t="shared" si="106"/>
        <v/>
      </c>
      <c r="N920" s="33" t="str">
        <f t="shared" si="107"/>
        <v/>
      </c>
      <c r="O920" s="33" t="str">
        <f t="shared" si="108"/>
        <v/>
      </c>
      <c r="P920" t="str">
        <f t="shared" si="109"/>
        <v/>
      </c>
      <c r="Q920" s="33" t="str">
        <f t="shared" si="110"/>
        <v/>
      </c>
      <c r="R920" s="39" t="str">
        <f t="shared" si="111"/>
        <v/>
      </c>
    </row>
    <row r="921" spans="6:18" x14ac:dyDescent="0.25">
      <c r="F921" s="35">
        <v>915</v>
      </c>
      <c r="L921" s="33" t="str">
        <f t="shared" si="105"/>
        <v/>
      </c>
      <c r="M921" t="str">
        <f t="shared" si="106"/>
        <v/>
      </c>
      <c r="N921" s="33" t="str">
        <f t="shared" si="107"/>
        <v/>
      </c>
      <c r="O921" s="33" t="str">
        <f t="shared" si="108"/>
        <v/>
      </c>
      <c r="P921" t="str">
        <f t="shared" si="109"/>
        <v/>
      </c>
      <c r="Q921" s="33" t="str">
        <f t="shared" si="110"/>
        <v/>
      </c>
      <c r="R921" s="39" t="str">
        <f t="shared" si="111"/>
        <v/>
      </c>
    </row>
    <row r="922" spans="6:18" x14ac:dyDescent="0.25">
      <c r="F922" s="35">
        <v>916</v>
      </c>
      <c r="L922" s="33" t="str">
        <f t="shared" si="105"/>
        <v/>
      </c>
      <c r="M922" t="str">
        <f t="shared" si="106"/>
        <v/>
      </c>
      <c r="N922" s="33" t="str">
        <f t="shared" si="107"/>
        <v/>
      </c>
      <c r="O922" s="33" t="str">
        <f t="shared" si="108"/>
        <v/>
      </c>
      <c r="P922" t="str">
        <f t="shared" si="109"/>
        <v/>
      </c>
      <c r="Q922" s="33" t="str">
        <f t="shared" si="110"/>
        <v/>
      </c>
      <c r="R922" s="39" t="str">
        <f t="shared" si="111"/>
        <v/>
      </c>
    </row>
    <row r="923" spans="6:18" x14ac:dyDescent="0.25">
      <c r="F923" s="35">
        <v>917</v>
      </c>
      <c r="L923" s="33" t="str">
        <f t="shared" si="105"/>
        <v/>
      </c>
      <c r="M923" t="str">
        <f t="shared" si="106"/>
        <v/>
      </c>
      <c r="N923" s="33" t="str">
        <f t="shared" si="107"/>
        <v/>
      </c>
      <c r="O923" s="33" t="str">
        <f t="shared" si="108"/>
        <v/>
      </c>
      <c r="P923" t="str">
        <f t="shared" si="109"/>
        <v/>
      </c>
      <c r="Q923" s="33" t="str">
        <f t="shared" si="110"/>
        <v/>
      </c>
      <c r="R923" s="39" t="str">
        <f t="shared" si="111"/>
        <v/>
      </c>
    </row>
    <row r="924" spans="6:18" x14ac:dyDescent="0.25">
      <c r="F924" s="35">
        <v>918</v>
      </c>
      <c r="L924" s="33" t="str">
        <f t="shared" si="105"/>
        <v/>
      </c>
      <c r="M924" t="str">
        <f t="shared" si="106"/>
        <v/>
      </c>
      <c r="N924" s="33" t="str">
        <f t="shared" si="107"/>
        <v/>
      </c>
      <c r="O924" s="33" t="str">
        <f t="shared" si="108"/>
        <v/>
      </c>
      <c r="P924" t="str">
        <f t="shared" si="109"/>
        <v/>
      </c>
      <c r="Q924" s="33" t="str">
        <f t="shared" si="110"/>
        <v/>
      </c>
      <c r="R924" s="39" t="str">
        <f t="shared" si="111"/>
        <v/>
      </c>
    </row>
    <row r="925" spans="6:18" x14ac:dyDescent="0.25">
      <c r="F925" s="35">
        <v>919</v>
      </c>
      <c r="L925" s="33" t="str">
        <f t="shared" si="105"/>
        <v/>
      </c>
      <c r="M925" t="str">
        <f t="shared" si="106"/>
        <v/>
      </c>
      <c r="N925" s="33" t="str">
        <f t="shared" si="107"/>
        <v/>
      </c>
      <c r="O925" s="33" t="str">
        <f t="shared" si="108"/>
        <v/>
      </c>
      <c r="P925" t="str">
        <f t="shared" si="109"/>
        <v/>
      </c>
      <c r="Q925" s="33" t="str">
        <f t="shared" si="110"/>
        <v/>
      </c>
      <c r="R925" s="39" t="str">
        <f t="shared" si="111"/>
        <v/>
      </c>
    </row>
    <row r="926" spans="6:18" x14ac:dyDescent="0.25">
      <c r="F926" s="35">
        <v>920</v>
      </c>
      <c r="L926" s="33" t="str">
        <f t="shared" si="105"/>
        <v/>
      </c>
      <c r="M926" t="str">
        <f t="shared" si="106"/>
        <v/>
      </c>
      <c r="N926" s="33" t="str">
        <f t="shared" si="107"/>
        <v/>
      </c>
      <c r="O926" s="33" t="str">
        <f t="shared" si="108"/>
        <v/>
      </c>
      <c r="P926" t="str">
        <f t="shared" si="109"/>
        <v/>
      </c>
      <c r="Q926" s="33" t="str">
        <f t="shared" si="110"/>
        <v/>
      </c>
      <c r="R926" s="39" t="str">
        <f t="shared" si="111"/>
        <v/>
      </c>
    </row>
    <row r="927" spans="6:18" x14ac:dyDescent="0.25">
      <c r="F927" s="35">
        <v>921</v>
      </c>
      <c r="L927" s="33" t="str">
        <f t="shared" si="105"/>
        <v/>
      </c>
      <c r="M927" t="str">
        <f t="shared" si="106"/>
        <v/>
      </c>
      <c r="N927" s="33" t="str">
        <f t="shared" si="107"/>
        <v/>
      </c>
      <c r="O927" s="33" t="str">
        <f t="shared" si="108"/>
        <v/>
      </c>
      <c r="P927" t="str">
        <f t="shared" si="109"/>
        <v/>
      </c>
      <c r="Q927" s="33" t="str">
        <f t="shared" si="110"/>
        <v/>
      </c>
      <c r="R927" s="39" t="str">
        <f t="shared" si="111"/>
        <v/>
      </c>
    </row>
    <row r="928" spans="6:18" x14ac:dyDescent="0.25">
      <c r="F928" s="35">
        <v>922</v>
      </c>
      <c r="L928" s="33" t="str">
        <f t="shared" si="105"/>
        <v/>
      </c>
      <c r="M928" t="str">
        <f t="shared" si="106"/>
        <v/>
      </c>
      <c r="N928" s="33" t="str">
        <f t="shared" si="107"/>
        <v/>
      </c>
      <c r="O928" s="33" t="str">
        <f t="shared" si="108"/>
        <v/>
      </c>
      <c r="P928" t="str">
        <f t="shared" si="109"/>
        <v/>
      </c>
      <c r="Q928" s="33" t="str">
        <f t="shared" si="110"/>
        <v/>
      </c>
      <c r="R928" s="39" t="str">
        <f t="shared" si="111"/>
        <v/>
      </c>
    </row>
    <row r="929" spans="6:18" x14ac:dyDescent="0.25">
      <c r="F929" s="35">
        <v>923</v>
      </c>
      <c r="L929" s="33" t="str">
        <f t="shared" si="105"/>
        <v/>
      </c>
      <c r="M929" t="str">
        <f t="shared" si="106"/>
        <v/>
      </c>
      <c r="N929" s="33" t="str">
        <f t="shared" si="107"/>
        <v/>
      </c>
      <c r="O929" s="33" t="str">
        <f t="shared" si="108"/>
        <v/>
      </c>
      <c r="P929" t="str">
        <f t="shared" si="109"/>
        <v/>
      </c>
      <c r="Q929" s="33" t="str">
        <f t="shared" si="110"/>
        <v/>
      </c>
      <c r="R929" s="39" t="str">
        <f t="shared" si="111"/>
        <v/>
      </c>
    </row>
    <row r="930" spans="6:18" x14ac:dyDescent="0.25">
      <c r="F930" s="35">
        <v>924</v>
      </c>
      <c r="L930" s="33" t="str">
        <f t="shared" si="105"/>
        <v/>
      </c>
      <c r="M930" t="str">
        <f t="shared" si="106"/>
        <v/>
      </c>
      <c r="N930" s="33" t="str">
        <f t="shared" si="107"/>
        <v/>
      </c>
      <c r="O930" s="33" t="str">
        <f t="shared" si="108"/>
        <v/>
      </c>
      <c r="P930" t="str">
        <f t="shared" si="109"/>
        <v/>
      </c>
      <c r="Q930" s="33" t="str">
        <f t="shared" si="110"/>
        <v/>
      </c>
      <c r="R930" s="39" t="str">
        <f t="shared" si="111"/>
        <v/>
      </c>
    </row>
    <row r="931" spans="6:18" x14ac:dyDescent="0.25">
      <c r="F931" s="35">
        <v>925</v>
      </c>
      <c r="L931" s="33" t="str">
        <f t="shared" si="105"/>
        <v/>
      </c>
      <c r="M931" t="str">
        <f t="shared" si="106"/>
        <v/>
      </c>
      <c r="N931" s="33" t="str">
        <f t="shared" si="107"/>
        <v/>
      </c>
      <c r="O931" s="33" t="str">
        <f t="shared" si="108"/>
        <v/>
      </c>
      <c r="P931" t="str">
        <f t="shared" si="109"/>
        <v/>
      </c>
      <c r="Q931" s="33" t="str">
        <f t="shared" si="110"/>
        <v/>
      </c>
      <c r="R931" s="39" t="str">
        <f t="shared" si="111"/>
        <v/>
      </c>
    </row>
    <row r="932" spans="6:18" x14ac:dyDescent="0.25">
      <c r="F932" s="35">
        <v>926</v>
      </c>
      <c r="L932" s="33" t="str">
        <f t="shared" si="105"/>
        <v/>
      </c>
      <c r="M932" t="str">
        <f t="shared" si="106"/>
        <v/>
      </c>
      <c r="N932" s="33" t="str">
        <f t="shared" si="107"/>
        <v/>
      </c>
      <c r="O932" s="33" t="str">
        <f t="shared" si="108"/>
        <v/>
      </c>
      <c r="P932" t="str">
        <f t="shared" si="109"/>
        <v/>
      </c>
      <c r="Q932" s="33" t="str">
        <f t="shared" si="110"/>
        <v/>
      </c>
      <c r="R932" s="39" t="str">
        <f t="shared" si="111"/>
        <v/>
      </c>
    </row>
    <row r="933" spans="6:18" x14ac:dyDescent="0.25">
      <c r="F933" s="35">
        <v>927</v>
      </c>
      <c r="L933" s="33" t="str">
        <f t="shared" si="105"/>
        <v/>
      </c>
      <c r="M933" t="str">
        <f t="shared" si="106"/>
        <v/>
      </c>
      <c r="N933" s="33" t="str">
        <f t="shared" si="107"/>
        <v/>
      </c>
      <c r="O933" s="33" t="str">
        <f t="shared" si="108"/>
        <v/>
      </c>
      <c r="P933" t="str">
        <f t="shared" si="109"/>
        <v/>
      </c>
      <c r="Q933" s="33" t="str">
        <f t="shared" si="110"/>
        <v/>
      </c>
      <c r="R933" s="39" t="str">
        <f t="shared" si="111"/>
        <v/>
      </c>
    </row>
    <row r="934" spans="6:18" x14ac:dyDescent="0.25">
      <c r="F934" s="35">
        <v>928</v>
      </c>
      <c r="L934" s="33" t="str">
        <f t="shared" si="105"/>
        <v/>
      </c>
      <c r="M934" t="str">
        <f t="shared" si="106"/>
        <v/>
      </c>
      <c r="N934" s="33" t="str">
        <f t="shared" si="107"/>
        <v/>
      </c>
      <c r="O934" s="33" t="str">
        <f t="shared" si="108"/>
        <v/>
      </c>
      <c r="P934" t="str">
        <f t="shared" si="109"/>
        <v/>
      </c>
      <c r="Q934" s="33" t="str">
        <f t="shared" si="110"/>
        <v/>
      </c>
      <c r="R934" s="39" t="str">
        <f t="shared" si="111"/>
        <v/>
      </c>
    </row>
    <row r="935" spans="6:18" x14ac:dyDescent="0.25">
      <c r="F935" s="35">
        <v>929</v>
      </c>
      <c r="L935" s="33" t="str">
        <f t="shared" si="105"/>
        <v/>
      </c>
      <c r="M935" t="str">
        <f t="shared" si="106"/>
        <v/>
      </c>
      <c r="N935" s="33" t="str">
        <f t="shared" si="107"/>
        <v/>
      </c>
      <c r="O935" s="33" t="str">
        <f t="shared" si="108"/>
        <v/>
      </c>
      <c r="P935" t="str">
        <f t="shared" si="109"/>
        <v/>
      </c>
      <c r="Q935" s="33" t="str">
        <f t="shared" si="110"/>
        <v/>
      </c>
      <c r="R935" s="39" t="str">
        <f t="shared" si="111"/>
        <v/>
      </c>
    </row>
    <row r="936" spans="6:18" x14ac:dyDescent="0.25">
      <c r="F936" s="35">
        <v>930</v>
      </c>
      <c r="L936" s="33" t="str">
        <f t="shared" si="105"/>
        <v/>
      </c>
      <c r="M936" t="str">
        <f t="shared" si="106"/>
        <v/>
      </c>
      <c r="N936" s="33" t="str">
        <f t="shared" si="107"/>
        <v/>
      </c>
      <c r="O936" s="33" t="str">
        <f t="shared" si="108"/>
        <v/>
      </c>
      <c r="P936" t="str">
        <f t="shared" si="109"/>
        <v/>
      </c>
      <c r="Q936" s="33" t="str">
        <f t="shared" si="110"/>
        <v/>
      </c>
      <c r="R936" s="39" t="str">
        <f t="shared" si="111"/>
        <v/>
      </c>
    </row>
    <row r="937" spans="6:18" x14ac:dyDescent="0.25">
      <c r="F937" s="35">
        <v>931</v>
      </c>
      <c r="L937" s="33" t="str">
        <f t="shared" si="105"/>
        <v/>
      </c>
      <c r="M937" t="str">
        <f t="shared" si="106"/>
        <v/>
      </c>
      <c r="N937" s="33" t="str">
        <f t="shared" si="107"/>
        <v/>
      </c>
      <c r="O937" s="33" t="str">
        <f t="shared" si="108"/>
        <v/>
      </c>
      <c r="P937" t="str">
        <f t="shared" si="109"/>
        <v/>
      </c>
      <c r="Q937" s="33" t="str">
        <f t="shared" si="110"/>
        <v/>
      </c>
      <c r="R937" s="39" t="str">
        <f t="shared" si="111"/>
        <v/>
      </c>
    </row>
    <row r="938" spans="6:18" x14ac:dyDescent="0.25">
      <c r="F938" s="35">
        <v>932</v>
      </c>
      <c r="L938" s="33" t="str">
        <f t="shared" si="105"/>
        <v/>
      </c>
      <c r="M938" t="str">
        <f t="shared" si="106"/>
        <v/>
      </c>
      <c r="N938" s="33" t="str">
        <f t="shared" si="107"/>
        <v/>
      </c>
      <c r="O938" s="33" t="str">
        <f t="shared" si="108"/>
        <v/>
      </c>
      <c r="P938" t="str">
        <f t="shared" si="109"/>
        <v/>
      </c>
      <c r="Q938" s="33" t="str">
        <f t="shared" si="110"/>
        <v/>
      </c>
      <c r="R938" s="39" t="str">
        <f t="shared" si="111"/>
        <v/>
      </c>
    </row>
    <row r="939" spans="6:18" x14ac:dyDescent="0.25">
      <c r="F939" s="35">
        <v>933</v>
      </c>
      <c r="L939" s="33" t="str">
        <f t="shared" si="105"/>
        <v/>
      </c>
      <c r="M939" t="str">
        <f t="shared" si="106"/>
        <v/>
      </c>
      <c r="N939" s="33" t="str">
        <f t="shared" si="107"/>
        <v/>
      </c>
      <c r="O939" s="33" t="str">
        <f t="shared" si="108"/>
        <v/>
      </c>
      <c r="P939" t="str">
        <f t="shared" si="109"/>
        <v/>
      </c>
      <c r="Q939" s="33" t="str">
        <f t="shared" si="110"/>
        <v/>
      </c>
      <c r="R939" s="39" t="str">
        <f t="shared" si="111"/>
        <v/>
      </c>
    </row>
    <row r="940" spans="6:18" x14ac:dyDescent="0.25">
      <c r="F940" s="35">
        <v>934</v>
      </c>
      <c r="L940" s="33" t="str">
        <f t="shared" si="105"/>
        <v/>
      </c>
      <c r="M940" t="str">
        <f t="shared" si="106"/>
        <v/>
      </c>
      <c r="N940" s="33" t="str">
        <f t="shared" si="107"/>
        <v/>
      </c>
      <c r="O940" s="33" t="str">
        <f t="shared" si="108"/>
        <v/>
      </c>
      <c r="P940" t="str">
        <f t="shared" si="109"/>
        <v/>
      </c>
      <c r="Q940" s="33" t="str">
        <f t="shared" si="110"/>
        <v/>
      </c>
      <c r="R940" s="39" t="str">
        <f t="shared" si="111"/>
        <v/>
      </c>
    </row>
    <row r="941" spans="6:18" x14ac:dyDescent="0.25">
      <c r="F941" s="35">
        <v>935</v>
      </c>
      <c r="L941" s="33" t="str">
        <f t="shared" si="105"/>
        <v/>
      </c>
      <c r="M941" t="str">
        <f t="shared" si="106"/>
        <v/>
      </c>
      <c r="N941" s="33" t="str">
        <f t="shared" si="107"/>
        <v/>
      </c>
      <c r="O941" s="33" t="str">
        <f t="shared" si="108"/>
        <v/>
      </c>
      <c r="P941" t="str">
        <f t="shared" si="109"/>
        <v/>
      </c>
      <c r="Q941" s="33" t="str">
        <f t="shared" si="110"/>
        <v/>
      </c>
      <c r="R941" s="39" t="str">
        <f t="shared" si="111"/>
        <v/>
      </c>
    </row>
    <row r="942" spans="6:18" x14ac:dyDescent="0.25">
      <c r="F942" s="35">
        <v>936</v>
      </c>
      <c r="L942" s="33" t="str">
        <f t="shared" si="105"/>
        <v/>
      </c>
      <c r="M942" t="str">
        <f t="shared" si="106"/>
        <v/>
      </c>
      <c r="N942" s="33" t="str">
        <f t="shared" si="107"/>
        <v/>
      </c>
      <c r="O942" s="33" t="str">
        <f t="shared" si="108"/>
        <v/>
      </c>
      <c r="P942" t="str">
        <f t="shared" si="109"/>
        <v/>
      </c>
      <c r="Q942" s="33" t="str">
        <f t="shared" si="110"/>
        <v/>
      </c>
      <c r="R942" s="39" t="str">
        <f t="shared" si="111"/>
        <v/>
      </c>
    </row>
    <row r="943" spans="6:18" x14ac:dyDescent="0.25">
      <c r="F943" s="35">
        <v>937</v>
      </c>
      <c r="L943" s="33" t="str">
        <f t="shared" si="105"/>
        <v/>
      </c>
      <c r="M943" t="str">
        <f t="shared" si="106"/>
        <v/>
      </c>
      <c r="N943" s="33" t="str">
        <f t="shared" si="107"/>
        <v/>
      </c>
      <c r="O943" s="33" t="str">
        <f t="shared" si="108"/>
        <v/>
      </c>
      <c r="P943" t="str">
        <f t="shared" si="109"/>
        <v/>
      </c>
      <c r="Q943" s="33" t="str">
        <f t="shared" si="110"/>
        <v/>
      </c>
      <c r="R943" s="39" t="str">
        <f t="shared" si="111"/>
        <v/>
      </c>
    </row>
    <row r="944" spans="6:18" x14ac:dyDescent="0.25">
      <c r="F944" s="35">
        <v>938</v>
      </c>
      <c r="L944" s="33" t="str">
        <f t="shared" si="105"/>
        <v/>
      </c>
      <c r="M944" t="str">
        <f t="shared" si="106"/>
        <v/>
      </c>
      <c r="N944" s="33" t="str">
        <f t="shared" si="107"/>
        <v/>
      </c>
      <c r="O944" s="33" t="str">
        <f t="shared" si="108"/>
        <v/>
      </c>
      <c r="P944" t="str">
        <f t="shared" si="109"/>
        <v/>
      </c>
      <c r="Q944" s="33" t="str">
        <f t="shared" si="110"/>
        <v/>
      </c>
      <c r="R944" s="39" t="str">
        <f t="shared" si="111"/>
        <v/>
      </c>
    </row>
    <row r="945" spans="6:18" x14ac:dyDescent="0.25">
      <c r="F945" s="35">
        <v>939</v>
      </c>
      <c r="L945" s="33" t="str">
        <f t="shared" si="105"/>
        <v/>
      </c>
      <c r="M945" t="str">
        <f t="shared" si="106"/>
        <v/>
      </c>
      <c r="N945" s="33" t="str">
        <f t="shared" si="107"/>
        <v/>
      </c>
      <c r="O945" s="33" t="str">
        <f t="shared" si="108"/>
        <v/>
      </c>
      <c r="P945" t="str">
        <f t="shared" si="109"/>
        <v/>
      </c>
      <c r="Q945" s="33" t="str">
        <f t="shared" si="110"/>
        <v/>
      </c>
      <c r="R945" s="39" t="str">
        <f t="shared" si="111"/>
        <v/>
      </c>
    </row>
    <row r="946" spans="6:18" x14ac:dyDescent="0.25">
      <c r="F946" s="35">
        <v>940</v>
      </c>
      <c r="L946" s="33" t="str">
        <f t="shared" si="105"/>
        <v/>
      </c>
      <c r="M946" t="str">
        <f t="shared" si="106"/>
        <v/>
      </c>
      <c r="N946" s="33" t="str">
        <f t="shared" si="107"/>
        <v/>
      </c>
      <c r="O946" s="33" t="str">
        <f t="shared" si="108"/>
        <v/>
      </c>
      <c r="P946" t="str">
        <f t="shared" si="109"/>
        <v/>
      </c>
      <c r="Q946" s="33" t="str">
        <f t="shared" si="110"/>
        <v/>
      </c>
      <c r="R946" s="39" t="str">
        <f t="shared" si="111"/>
        <v/>
      </c>
    </row>
    <row r="947" spans="6:18" x14ac:dyDescent="0.25">
      <c r="F947" s="35">
        <v>941</v>
      </c>
      <c r="L947" s="33" t="str">
        <f t="shared" si="105"/>
        <v/>
      </c>
      <c r="M947" t="str">
        <f t="shared" si="106"/>
        <v/>
      </c>
      <c r="N947" s="33" t="str">
        <f t="shared" si="107"/>
        <v/>
      </c>
      <c r="O947" s="33" t="str">
        <f t="shared" si="108"/>
        <v/>
      </c>
      <c r="P947" t="str">
        <f t="shared" si="109"/>
        <v/>
      </c>
      <c r="Q947" s="33" t="str">
        <f t="shared" si="110"/>
        <v/>
      </c>
      <c r="R947" s="39" t="str">
        <f t="shared" si="111"/>
        <v/>
      </c>
    </row>
    <row r="948" spans="6:18" x14ac:dyDescent="0.25">
      <c r="F948" s="35">
        <v>942</v>
      </c>
      <c r="L948" s="33" t="str">
        <f t="shared" si="105"/>
        <v/>
      </c>
      <c r="M948" t="str">
        <f t="shared" si="106"/>
        <v/>
      </c>
      <c r="N948" s="33" t="str">
        <f t="shared" si="107"/>
        <v/>
      </c>
      <c r="O948" s="33" t="str">
        <f t="shared" si="108"/>
        <v/>
      </c>
      <c r="P948" t="str">
        <f t="shared" si="109"/>
        <v/>
      </c>
      <c r="Q948" s="33" t="str">
        <f t="shared" si="110"/>
        <v/>
      </c>
      <c r="R948" s="39" t="str">
        <f t="shared" si="111"/>
        <v/>
      </c>
    </row>
    <row r="949" spans="6:18" x14ac:dyDescent="0.25">
      <c r="F949" s="35">
        <v>943</v>
      </c>
      <c r="L949" s="33" t="str">
        <f t="shared" si="105"/>
        <v/>
      </c>
      <c r="M949" t="str">
        <f t="shared" si="106"/>
        <v/>
      </c>
      <c r="N949" s="33" t="str">
        <f t="shared" si="107"/>
        <v/>
      </c>
      <c r="O949" s="33" t="str">
        <f t="shared" si="108"/>
        <v/>
      </c>
      <c r="P949" t="str">
        <f t="shared" si="109"/>
        <v/>
      </c>
      <c r="Q949" s="33" t="str">
        <f t="shared" si="110"/>
        <v/>
      </c>
      <c r="R949" s="39" t="str">
        <f t="shared" si="111"/>
        <v/>
      </c>
    </row>
    <row r="950" spans="6:18" x14ac:dyDescent="0.25">
      <c r="F950" s="35">
        <v>944</v>
      </c>
      <c r="L950" s="33" t="str">
        <f t="shared" si="105"/>
        <v/>
      </c>
      <c r="M950" t="str">
        <f t="shared" si="106"/>
        <v/>
      </c>
      <c r="N950" s="33" t="str">
        <f t="shared" si="107"/>
        <v/>
      </c>
      <c r="O950" s="33" t="str">
        <f t="shared" si="108"/>
        <v/>
      </c>
      <c r="P950" t="str">
        <f t="shared" si="109"/>
        <v/>
      </c>
      <c r="Q950" s="33" t="str">
        <f t="shared" si="110"/>
        <v/>
      </c>
      <c r="R950" s="39" t="str">
        <f t="shared" si="111"/>
        <v/>
      </c>
    </row>
    <row r="951" spans="6:18" x14ac:dyDescent="0.25">
      <c r="F951" s="35">
        <v>945</v>
      </c>
      <c r="L951" s="33" t="str">
        <f t="shared" si="105"/>
        <v/>
      </c>
      <c r="M951" t="str">
        <f t="shared" si="106"/>
        <v/>
      </c>
      <c r="N951" s="33" t="str">
        <f t="shared" si="107"/>
        <v/>
      </c>
      <c r="O951" s="33" t="str">
        <f t="shared" si="108"/>
        <v/>
      </c>
      <c r="P951" t="str">
        <f t="shared" si="109"/>
        <v/>
      </c>
      <c r="Q951" s="33" t="str">
        <f t="shared" si="110"/>
        <v/>
      </c>
      <c r="R951" s="39" t="str">
        <f t="shared" si="111"/>
        <v/>
      </c>
    </row>
    <row r="952" spans="6:18" x14ac:dyDescent="0.25">
      <c r="F952" s="35">
        <v>946</v>
      </c>
      <c r="L952" s="33" t="str">
        <f t="shared" si="105"/>
        <v/>
      </c>
      <c r="M952" t="str">
        <f t="shared" si="106"/>
        <v/>
      </c>
      <c r="N952" s="33" t="str">
        <f t="shared" si="107"/>
        <v/>
      </c>
      <c r="O952" s="33" t="str">
        <f t="shared" si="108"/>
        <v/>
      </c>
      <c r="P952" t="str">
        <f t="shared" si="109"/>
        <v/>
      </c>
      <c r="Q952" s="33" t="str">
        <f t="shared" si="110"/>
        <v/>
      </c>
      <c r="R952" s="39" t="str">
        <f t="shared" si="111"/>
        <v/>
      </c>
    </row>
    <row r="953" spans="6:18" x14ac:dyDescent="0.25">
      <c r="F953" s="35">
        <v>947</v>
      </c>
      <c r="L953" s="33" t="str">
        <f t="shared" si="105"/>
        <v/>
      </c>
      <c r="M953" t="str">
        <f t="shared" si="106"/>
        <v/>
      </c>
      <c r="N953" s="33" t="str">
        <f t="shared" si="107"/>
        <v/>
      </c>
      <c r="O953" s="33" t="str">
        <f t="shared" si="108"/>
        <v/>
      </c>
      <c r="P953" t="str">
        <f t="shared" si="109"/>
        <v/>
      </c>
      <c r="Q953" s="33" t="str">
        <f t="shared" si="110"/>
        <v/>
      </c>
      <c r="R953" s="39" t="str">
        <f t="shared" si="111"/>
        <v/>
      </c>
    </row>
    <row r="954" spans="6:18" x14ac:dyDescent="0.25">
      <c r="F954" s="35">
        <v>948</v>
      </c>
      <c r="L954" s="33" t="str">
        <f t="shared" si="105"/>
        <v/>
      </c>
      <c r="M954" t="str">
        <f t="shared" si="106"/>
        <v/>
      </c>
      <c r="N954" s="33" t="str">
        <f t="shared" si="107"/>
        <v/>
      </c>
      <c r="O954" s="33" t="str">
        <f t="shared" si="108"/>
        <v/>
      </c>
      <c r="P954" t="str">
        <f t="shared" si="109"/>
        <v/>
      </c>
      <c r="Q954" s="33" t="str">
        <f t="shared" si="110"/>
        <v/>
      </c>
      <c r="R954" s="39" t="str">
        <f t="shared" si="111"/>
        <v/>
      </c>
    </row>
    <row r="955" spans="6:18" x14ac:dyDescent="0.25">
      <c r="F955" s="35">
        <v>949</v>
      </c>
      <c r="L955" s="33" t="str">
        <f t="shared" si="105"/>
        <v/>
      </c>
      <c r="M955" t="str">
        <f t="shared" si="106"/>
        <v/>
      </c>
      <c r="N955" s="33" t="str">
        <f t="shared" si="107"/>
        <v/>
      </c>
      <c r="O955" s="33" t="str">
        <f t="shared" si="108"/>
        <v/>
      </c>
      <c r="P955" t="str">
        <f t="shared" si="109"/>
        <v/>
      </c>
      <c r="Q955" s="33" t="str">
        <f t="shared" si="110"/>
        <v/>
      </c>
      <c r="R955" s="39" t="str">
        <f t="shared" si="111"/>
        <v/>
      </c>
    </row>
    <row r="956" spans="6:18" x14ac:dyDescent="0.25">
      <c r="F956" s="35">
        <v>950</v>
      </c>
      <c r="L956" s="33" t="str">
        <f t="shared" si="105"/>
        <v/>
      </c>
      <c r="M956" t="str">
        <f t="shared" si="106"/>
        <v/>
      </c>
      <c r="N956" s="33" t="str">
        <f t="shared" si="107"/>
        <v/>
      </c>
      <c r="O956" s="33" t="str">
        <f t="shared" si="108"/>
        <v/>
      </c>
      <c r="P956" t="str">
        <f t="shared" si="109"/>
        <v/>
      </c>
      <c r="Q956" s="33" t="str">
        <f t="shared" si="110"/>
        <v/>
      </c>
      <c r="R956" s="39" t="str">
        <f t="shared" si="111"/>
        <v/>
      </c>
    </row>
    <row r="957" spans="6:18" x14ac:dyDescent="0.25">
      <c r="F957" s="35">
        <v>951</v>
      </c>
      <c r="L957" s="33" t="str">
        <f t="shared" si="105"/>
        <v/>
      </c>
      <c r="M957" t="str">
        <f t="shared" si="106"/>
        <v/>
      </c>
      <c r="N957" s="33" t="str">
        <f t="shared" si="107"/>
        <v/>
      </c>
      <c r="O957" s="33" t="str">
        <f t="shared" si="108"/>
        <v/>
      </c>
      <c r="P957" t="str">
        <f t="shared" si="109"/>
        <v/>
      </c>
      <c r="Q957" s="33" t="str">
        <f t="shared" si="110"/>
        <v/>
      </c>
      <c r="R957" s="39" t="str">
        <f t="shared" si="111"/>
        <v/>
      </c>
    </row>
    <row r="958" spans="6:18" x14ac:dyDescent="0.25">
      <c r="F958" s="35">
        <v>952</v>
      </c>
      <c r="L958" s="33" t="str">
        <f t="shared" si="105"/>
        <v/>
      </c>
      <c r="M958" t="str">
        <f t="shared" si="106"/>
        <v/>
      </c>
      <c r="N958" s="33" t="str">
        <f t="shared" si="107"/>
        <v/>
      </c>
      <c r="O958" s="33" t="str">
        <f t="shared" si="108"/>
        <v/>
      </c>
      <c r="P958" t="str">
        <f t="shared" si="109"/>
        <v/>
      </c>
      <c r="Q958" s="33" t="str">
        <f t="shared" si="110"/>
        <v/>
      </c>
      <c r="R958" s="39" t="str">
        <f t="shared" si="111"/>
        <v/>
      </c>
    </row>
    <row r="959" spans="6:18" x14ac:dyDescent="0.25">
      <c r="F959" s="35">
        <v>953</v>
      </c>
      <c r="L959" s="33" t="str">
        <f t="shared" si="105"/>
        <v/>
      </c>
      <c r="M959" t="str">
        <f t="shared" si="106"/>
        <v/>
      </c>
      <c r="N959" s="33" t="str">
        <f t="shared" si="107"/>
        <v/>
      </c>
      <c r="O959" s="33" t="str">
        <f t="shared" si="108"/>
        <v/>
      </c>
      <c r="P959" t="str">
        <f t="shared" si="109"/>
        <v/>
      </c>
      <c r="Q959" s="33" t="str">
        <f t="shared" si="110"/>
        <v/>
      </c>
      <c r="R959" s="39" t="str">
        <f t="shared" si="111"/>
        <v/>
      </c>
    </row>
    <row r="960" spans="6:18" x14ac:dyDescent="0.25">
      <c r="F960" s="35">
        <v>954</v>
      </c>
      <c r="L960" s="33" t="str">
        <f t="shared" si="105"/>
        <v/>
      </c>
      <c r="M960" t="str">
        <f t="shared" si="106"/>
        <v/>
      </c>
      <c r="N960" s="33" t="str">
        <f t="shared" si="107"/>
        <v/>
      </c>
      <c r="O960" s="33" t="str">
        <f t="shared" si="108"/>
        <v/>
      </c>
      <c r="P960" t="str">
        <f t="shared" si="109"/>
        <v/>
      </c>
      <c r="Q960" s="33" t="str">
        <f t="shared" si="110"/>
        <v/>
      </c>
      <c r="R960" s="39" t="str">
        <f t="shared" si="111"/>
        <v/>
      </c>
    </row>
    <row r="961" spans="6:18" x14ac:dyDescent="0.25">
      <c r="F961" s="35">
        <v>955</v>
      </c>
      <c r="L961" s="33" t="str">
        <f t="shared" si="105"/>
        <v/>
      </c>
      <c r="M961" t="str">
        <f t="shared" si="106"/>
        <v/>
      </c>
      <c r="N961" s="33" t="str">
        <f t="shared" si="107"/>
        <v/>
      </c>
      <c r="O961" s="33" t="str">
        <f t="shared" si="108"/>
        <v/>
      </c>
      <c r="P961" t="str">
        <f t="shared" si="109"/>
        <v/>
      </c>
      <c r="Q961" s="33" t="str">
        <f t="shared" si="110"/>
        <v/>
      </c>
      <c r="R961" s="39" t="str">
        <f t="shared" si="111"/>
        <v/>
      </c>
    </row>
    <row r="962" spans="6:18" x14ac:dyDescent="0.25">
      <c r="F962" s="35">
        <v>956</v>
      </c>
      <c r="L962" s="33" t="str">
        <f t="shared" si="105"/>
        <v/>
      </c>
      <c r="M962" t="str">
        <f t="shared" si="106"/>
        <v/>
      </c>
      <c r="N962" s="33" t="str">
        <f t="shared" si="107"/>
        <v/>
      </c>
      <c r="O962" s="33" t="str">
        <f t="shared" si="108"/>
        <v/>
      </c>
      <c r="P962" t="str">
        <f t="shared" si="109"/>
        <v/>
      </c>
      <c r="Q962" s="33" t="str">
        <f t="shared" si="110"/>
        <v/>
      </c>
      <c r="R962" s="39" t="str">
        <f t="shared" si="111"/>
        <v/>
      </c>
    </row>
    <row r="963" spans="6:18" x14ac:dyDescent="0.25">
      <c r="F963" s="35">
        <v>957</v>
      </c>
      <c r="L963" s="33" t="str">
        <f t="shared" si="105"/>
        <v/>
      </c>
      <c r="M963" t="str">
        <f t="shared" si="106"/>
        <v/>
      </c>
      <c r="N963" s="33" t="str">
        <f t="shared" si="107"/>
        <v/>
      </c>
      <c r="O963" s="33" t="str">
        <f t="shared" si="108"/>
        <v/>
      </c>
      <c r="P963" t="str">
        <f t="shared" si="109"/>
        <v/>
      </c>
      <c r="Q963" s="33" t="str">
        <f t="shared" si="110"/>
        <v/>
      </c>
      <c r="R963" s="39" t="str">
        <f t="shared" si="111"/>
        <v/>
      </c>
    </row>
    <row r="964" spans="6:18" x14ac:dyDescent="0.25">
      <c r="F964" s="35">
        <v>958</v>
      </c>
      <c r="L964" s="33" t="str">
        <f t="shared" si="105"/>
        <v/>
      </c>
      <c r="M964" t="str">
        <f t="shared" si="106"/>
        <v/>
      </c>
      <c r="N964" s="33" t="str">
        <f t="shared" si="107"/>
        <v/>
      </c>
      <c r="O964" s="33" t="str">
        <f t="shared" si="108"/>
        <v/>
      </c>
      <c r="P964" t="str">
        <f t="shared" si="109"/>
        <v/>
      </c>
      <c r="Q964" s="33" t="str">
        <f t="shared" si="110"/>
        <v/>
      </c>
      <c r="R964" s="39" t="str">
        <f t="shared" si="111"/>
        <v/>
      </c>
    </row>
    <row r="965" spans="6:18" x14ac:dyDescent="0.25">
      <c r="F965" s="35">
        <v>959</v>
      </c>
      <c r="L965" s="33" t="str">
        <f t="shared" si="105"/>
        <v/>
      </c>
      <c r="M965" t="str">
        <f t="shared" si="106"/>
        <v/>
      </c>
      <c r="N965" s="33" t="str">
        <f t="shared" si="107"/>
        <v/>
      </c>
      <c r="O965" s="33" t="str">
        <f t="shared" si="108"/>
        <v/>
      </c>
      <c r="P965" t="str">
        <f t="shared" si="109"/>
        <v/>
      </c>
      <c r="Q965" s="33" t="str">
        <f t="shared" si="110"/>
        <v/>
      </c>
      <c r="R965" s="39" t="str">
        <f t="shared" si="111"/>
        <v/>
      </c>
    </row>
    <row r="966" spans="6:18" x14ac:dyDescent="0.25">
      <c r="F966" s="35">
        <v>960</v>
      </c>
      <c r="L966" s="33" t="str">
        <f t="shared" si="105"/>
        <v/>
      </c>
      <c r="M966" t="str">
        <f t="shared" si="106"/>
        <v/>
      </c>
      <c r="N966" s="33" t="str">
        <f t="shared" si="107"/>
        <v/>
      </c>
      <c r="O966" s="33" t="str">
        <f t="shared" si="108"/>
        <v/>
      </c>
      <c r="P966" t="str">
        <f t="shared" si="109"/>
        <v/>
      </c>
      <c r="Q966" s="33" t="str">
        <f t="shared" si="110"/>
        <v/>
      </c>
      <c r="R966" s="39" t="str">
        <f t="shared" si="111"/>
        <v/>
      </c>
    </row>
    <row r="967" spans="6:18" x14ac:dyDescent="0.25">
      <c r="F967" s="35">
        <v>961</v>
      </c>
      <c r="L967" s="33" t="str">
        <f t="shared" si="105"/>
        <v/>
      </c>
      <c r="M967" t="str">
        <f t="shared" si="106"/>
        <v/>
      </c>
      <c r="N967" s="33" t="str">
        <f t="shared" si="107"/>
        <v/>
      </c>
      <c r="O967" s="33" t="str">
        <f t="shared" si="108"/>
        <v/>
      </c>
      <c r="P967" t="str">
        <f t="shared" si="109"/>
        <v/>
      </c>
      <c r="Q967" s="33" t="str">
        <f t="shared" si="110"/>
        <v/>
      </c>
      <c r="R967" s="39" t="str">
        <f t="shared" si="111"/>
        <v/>
      </c>
    </row>
    <row r="968" spans="6:18" x14ac:dyDescent="0.25">
      <c r="F968" s="35">
        <v>962</v>
      </c>
      <c r="L968" s="33" t="str">
        <f t="shared" ref="L968:L1031" si="112">IF(G968="","",$C$4*$C$6*$C$7/360)</f>
        <v/>
      </c>
      <c r="M968" t="str">
        <f t="shared" ref="M968:M1031" si="113">IF(G968="","",IF(H968=$G$2,100,0))</f>
        <v/>
      </c>
      <c r="N968" s="33" t="str">
        <f t="shared" ref="N968:N1031" si="114">IF(G968="","",L968+M968)</f>
        <v/>
      </c>
      <c r="O968" s="33" t="str">
        <f t="shared" ref="O968:O1031" si="115">IF(G968="","",1/(1+$C$5*K968/360)^(J968/K968))</f>
        <v/>
      </c>
      <c r="P968" t="str">
        <f t="shared" ref="P968:P1031" si="116">IF(G968="","",H968-$C$12)</f>
        <v/>
      </c>
      <c r="Q968" s="33" t="str">
        <f t="shared" ref="Q968:Q1031" si="117">IF(G968="","",(P968/K968))</f>
        <v/>
      </c>
      <c r="R968" s="39" t="str">
        <f t="shared" ref="R968:R1031" si="118">IF(G968="","",N968*O968)</f>
        <v/>
      </c>
    </row>
    <row r="969" spans="6:18" x14ac:dyDescent="0.25">
      <c r="F969" s="35">
        <v>963</v>
      </c>
      <c r="L969" s="33" t="str">
        <f t="shared" si="112"/>
        <v/>
      </c>
      <c r="M969" t="str">
        <f t="shared" si="113"/>
        <v/>
      </c>
      <c r="N969" s="33" t="str">
        <f t="shared" si="114"/>
        <v/>
      </c>
      <c r="O969" s="33" t="str">
        <f t="shared" si="115"/>
        <v/>
      </c>
      <c r="P969" t="str">
        <f t="shared" si="116"/>
        <v/>
      </c>
      <c r="Q969" s="33" t="str">
        <f t="shared" si="117"/>
        <v/>
      </c>
      <c r="R969" s="39" t="str">
        <f t="shared" si="118"/>
        <v/>
      </c>
    </row>
    <row r="970" spans="6:18" x14ac:dyDescent="0.25">
      <c r="F970" s="35">
        <v>964</v>
      </c>
      <c r="L970" s="33" t="str">
        <f t="shared" si="112"/>
        <v/>
      </c>
      <c r="M970" t="str">
        <f t="shared" si="113"/>
        <v/>
      </c>
      <c r="N970" s="33" t="str">
        <f t="shared" si="114"/>
        <v/>
      </c>
      <c r="O970" s="33" t="str">
        <f t="shared" si="115"/>
        <v/>
      </c>
      <c r="P970" t="str">
        <f t="shared" si="116"/>
        <v/>
      </c>
      <c r="Q970" s="33" t="str">
        <f t="shared" si="117"/>
        <v/>
      </c>
      <c r="R970" s="39" t="str">
        <f t="shared" si="118"/>
        <v/>
      </c>
    </row>
    <row r="971" spans="6:18" x14ac:dyDescent="0.25">
      <c r="F971" s="35">
        <v>965</v>
      </c>
      <c r="L971" s="33" t="str">
        <f t="shared" si="112"/>
        <v/>
      </c>
      <c r="M971" t="str">
        <f t="shared" si="113"/>
        <v/>
      </c>
      <c r="N971" s="33" t="str">
        <f t="shared" si="114"/>
        <v/>
      </c>
      <c r="O971" s="33" t="str">
        <f t="shared" si="115"/>
        <v/>
      </c>
      <c r="P971" t="str">
        <f t="shared" si="116"/>
        <v/>
      </c>
      <c r="Q971" s="33" t="str">
        <f t="shared" si="117"/>
        <v/>
      </c>
      <c r="R971" s="39" t="str">
        <f t="shared" si="118"/>
        <v/>
      </c>
    </row>
    <row r="972" spans="6:18" x14ac:dyDescent="0.25">
      <c r="F972" s="35">
        <v>966</v>
      </c>
      <c r="L972" s="33" t="str">
        <f t="shared" si="112"/>
        <v/>
      </c>
      <c r="M972" t="str">
        <f t="shared" si="113"/>
        <v/>
      </c>
      <c r="N972" s="33" t="str">
        <f t="shared" si="114"/>
        <v/>
      </c>
      <c r="O972" s="33" t="str">
        <f t="shared" si="115"/>
        <v/>
      </c>
      <c r="P972" t="str">
        <f t="shared" si="116"/>
        <v/>
      </c>
      <c r="Q972" s="33" t="str">
        <f t="shared" si="117"/>
        <v/>
      </c>
      <c r="R972" s="39" t="str">
        <f t="shared" si="118"/>
        <v/>
      </c>
    </row>
    <row r="973" spans="6:18" x14ac:dyDescent="0.25">
      <c r="F973" s="35">
        <v>967</v>
      </c>
      <c r="L973" s="33" t="str">
        <f t="shared" si="112"/>
        <v/>
      </c>
      <c r="M973" t="str">
        <f t="shared" si="113"/>
        <v/>
      </c>
      <c r="N973" s="33" t="str">
        <f t="shared" si="114"/>
        <v/>
      </c>
      <c r="O973" s="33" t="str">
        <f t="shared" si="115"/>
        <v/>
      </c>
      <c r="P973" t="str">
        <f t="shared" si="116"/>
        <v/>
      </c>
      <c r="Q973" s="33" t="str">
        <f t="shared" si="117"/>
        <v/>
      </c>
      <c r="R973" s="39" t="str">
        <f t="shared" si="118"/>
        <v/>
      </c>
    </row>
    <row r="974" spans="6:18" x14ac:dyDescent="0.25">
      <c r="F974" s="35">
        <v>968</v>
      </c>
      <c r="L974" s="33" t="str">
        <f t="shared" si="112"/>
        <v/>
      </c>
      <c r="M974" t="str">
        <f t="shared" si="113"/>
        <v/>
      </c>
      <c r="N974" s="33" t="str">
        <f t="shared" si="114"/>
        <v/>
      </c>
      <c r="O974" s="33" t="str">
        <f t="shared" si="115"/>
        <v/>
      </c>
      <c r="P974" t="str">
        <f t="shared" si="116"/>
        <v/>
      </c>
      <c r="Q974" s="33" t="str">
        <f t="shared" si="117"/>
        <v/>
      </c>
      <c r="R974" s="39" t="str">
        <f t="shared" si="118"/>
        <v/>
      </c>
    </row>
    <row r="975" spans="6:18" x14ac:dyDescent="0.25">
      <c r="F975" s="35">
        <v>969</v>
      </c>
      <c r="L975" s="33" t="str">
        <f t="shared" si="112"/>
        <v/>
      </c>
      <c r="M975" t="str">
        <f t="shared" si="113"/>
        <v/>
      </c>
      <c r="N975" s="33" t="str">
        <f t="shared" si="114"/>
        <v/>
      </c>
      <c r="O975" s="33" t="str">
        <f t="shared" si="115"/>
        <v/>
      </c>
      <c r="P975" t="str">
        <f t="shared" si="116"/>
        <v/>
      </c>
      <c r="Q975" s="33" t="str">
        <f t="shared" si="117"/>
        <v/>
      </c>
      <c r="R975" s="39" t="str">
        <f t="shared" si="118"/>
        <v/>
      </c>
    </row>
    <row r="976" spans="6:18" x14ac:dyDescent="0.25">
      <c r="F976" s="35">
        <v>970</v>
      </c>
      <c r="L976" s="33" t="str">
        <f t="shared" si="112"/>
        <v/>
      </c>
      <c r="M976" t="str">
        <f t="shared" si="113"/>
        <v/>
      </c>
      <c r="N976" s="33" t="str">
        <f t="shared" si="114"/>
        <v/>
      </c>
      <c r="O976" s="33" t="str">
        <f t="shared" si="115"/>
        <v/>
      </c>
      <c r="P976" t="str">
        <f t="shared" si="116"/>
        <v/>
      </c>
      <c r="Q976" s="33" t="str">
        <f t="shared" si="117"/>
        <v/>
      </c>
      <c r="R976" s="39" t="str">
        <f t="shared" si="118"/>
        <v/>
      </c>
    </row>
    <row r="977" spans="6:18" x14ac:dyDescent="0.25">
      <c r="F977" s="35">
        <v>971</v>
      </c>
      <c r="L977" s="33" t="str">
        <f t="shared" si="112"/>
        <v/>
      </c>
      <c r="M977" t="str">
        <f t="shared" si="113"/>
        <v/>
      </c>
      <c r="N977" s="33" t="str">
        <f t="shared" si="114"/>
        <v/>
      </c>
      <c r="O977" s="33" t="str">
        <f t="shared" si="115"/>
        <v/>
      </c>
      <c r="P977" t="str">
        <f t="shared" si="116"/>
        <v/>
      </c>
      <c r="Q977" s="33" t="str">
        <f t="shared" si="117"/>
        <v/>
      </c>
      <c r="R977" s="39" t="str">
        <f t="shared" si="118"/>
        <v/>
      </c>
    </row>
    <row r="978" spans="6:18" x14ac:dyDescent="0.25">
      <c r="F978" s="35">
        <v>972</v>
      </c>
      <c r="L978" s="33" t="str">
        <f t="shared" si="112"/>
        <v/>
      </c>
      <c r="M978" t="str">
        <f t="shared" si="113"/>
        <v/>
      </c>
      <c r="N978" s="33" t="str">
        <f t="shared" si="114"/>
        <v/>
      </c>
      <c r="O978" s="33" t="str">
        <f t="shared" si="115"/>
        <v/>
      </c>
      <c r="P978" t="str">
        <f t="shared" si="116"/>
        <v/>
      </c>
      <c r="Q978" s="33" t="str">
        <f t="shared" si="117"/>
        <v/>
      </c>
      <c r="R978" s="39" t="str">
        <f t="shared" si="118"/>
        <v/>
      </c>
    </row>
    <row r="979" spans="6:18" x14ac:dyDescent="0.25">
      <c r="F979" s="35">
        <v>973</v>
      </c>
      <c r="L979" s="33" t="str">
        <f t="shared" si="112"/>
        <v/>
      </c>
      <c r="M979" t="str">
        <f t="shared" si="113"/>
        <v/>
      </c>
      <c r="N979" s="33" t="str">
        <f t="shared" si="114"/>
        <v/>
      </c>
      <c r="O979" s="33" t="str">
        <f t="shared" si="115"/>
        <v/>
      </c>
      <c r="P979" t="str">
        <f t="shared" si="116"/>
        <v/>
      </c>
      <c r="Q979" s="33" t="str">
        <f t="shared" si="117"/>
        <v/>
      </c>
      <c r="R979" s="39" t="str">
        <f t="shared" si="118"/>
        <v/>
      </c>
    </row>
    <row r="980" spans="6:18" x14ac:dyDescent="0.25">
      <c r="F980" s="35">
        <v>974</v>
      </c>
      <c r="L980" s="33" t="str">
        <f t="shared" si="112"/>
        <v/>
      </c>
      <c r="M980" t="str">
        <f t="shared" si="113"/>
        <v/>
      </c>
      <c r="N980" s="33" t="str">
        <f t="shared" si="114"/>
        <v/>
      </c>
      <c r="O980" s="33" t="str">
        <f t="shared" si="115"/>
        <v/>
      </c>
      <c r="P980" t="str">
        <f t="shared" si="116"/>
        <v/>
      </c>
      <c r="Q980" s="33" t="str">
        <f t="shared" si="117"/>
        <v/>
      </c>
      <c r="R980" s="39" t="str">
        <f t="shared" si="118"/>
        <v/>
      </c>
    </row>
    <row r="981" spans="6:18" x14ac:dyDescent="0.25">
      <c r="F981" s="35">
        <v>975</v>
      </c>
      <c r="L981" s="33" t="str">
        <f t="shared" si="112"/>
        <v/>
      </c>
      <c r="M981" t="str">
        <f t="shared" si="113"/>
        <v/>
      </c>
      <c r="N981" s="33" t="str">
        <f t="shared" si="114"/>
        <v/>
      </c>
      <c r="O981" s="33" t="str">
        <f t="shared" si="115"/>
        <v/>
      </c>
      <c r="P981" t="str">
        <f t="shared" si="116"/>
        <v/>
      </c>
      <c r="Q981" s="33" t="str">
        <f t="shared" si="117"/>
        <v/>
      </c>
      <c r="R981" s="39" t="str">
        <f t="shared" si="118"/>
        <v/>
      </c>
    </row>
    <row r="982" spans="6:18" x14ac:dyDescent="0.25">
      <c r="F982" s="35">
        <v>976</v>
      </c>
      <c r="L982" s="33" t="str">
        <f t="shared" si="112"/>
        <v/>
      </c>
      <c r="M982" t="str">
        <f t="shared" si="113"/>
        <v/>
      </c>
      <c r="N982" s="33" t="str">
        <f t="shared" si="114"/>
        <v/>
      </c>
      <c r="O982" s="33" t="str">
        <f t="shared" si="115"/>
        <v/>
      </c>
      <c r="P982" t="str">
        <f t="shared" si="116"/>
        <v/>
      </c>
      <c r="Q982" s="33" t="str">
        <f t="shared" si="117"/>
        <v/>
      </c>
      <c r="R982" s="39" t="str">
        <f t="shared" si="118"/>
        <v/>
      </c>
    </row>
    <row r="983" spans="6:18" x14ac:dyDescent="0.25">
      <c r="F983" s="35">
        <v>977</v>
      </c>
      <c r="L983" s="33" t="str">
        <f t="shared" si="112"/>
        <v/>
      </c>
      <c r="M983" t="str">
        <f t="shared" si="113"/>
        <v/>
      </c>
      <c r="N983" s="33" t="str">
        <f t="shared" si="114"/>
        <v/>
      </c>
      <c r="O983" s="33" t="str">
        <f t="shared" si="115"/>
        <v/>
      </c>
      <c r="P983" t="str">
        <f t="shared" si="116"/>
        <v/>
      </c>
      <c r="Q983" s="33" t="str">
        <f t="shared" si="117"/>
        <v/>
      </c>
      <c r="R983" s="39" t="str">
        <f t="shared" si="118"/>
        <v/>
      </c>
    </row>
    <row r="984" spans="6:18" x14ac:dyDescent="0.25">
      <c r="F984" s="35">
        <v>978</v>
      </c>
      <c r="L984" s="33" t="str">
        <f t="shared" si="112"/>
        <v/>
      </c>
      <c r="M984" t="str">
        <f t="shared" si="113"/>
        <v/>
      </c>
      <c r="N984" s="33" t="str">
        <f t="shared" si="114"/>
        <v/>
      </c>
      <c r="O984" s="33" t="str">
        <f t="shared" si="115"/>
        <v/>
      </c>
      <c r="P984" t="str">
        <f t="shared" si="116"/>
        <v/>
      </c>
      <c r="Q984" s="33" t="str">
        <f t="shared" si="117"/>
        <v/>
      </c>
      <c r="R984" s="39" t="str">
        <f t="shared" si="118"/>
        <v/>
      </c>
    </row>
    <row r="985" spans="6:18" x14ac:dyDescent="0.25">
      <c r="F985" s="35">
        <v>979</v>
      </c>
      <c r="L985" s="33" t="str">
        <f t="shared" si="112"/>
        <v/>
      </c>
      <c r="M985" t="str">
        <f t="shared" si="113"/>
        <v/>
      </c>
      <c r="N985" s="33" t="str">
        <f t="shared" si="114"/>
        <v/>
      </c>
      <c r="O985" s="33" t="str">
        <f t="shared" si="115"/>
        <v/>
      </c>
      <c r="P985" t="str">
        <f t="shared" si="116"/>
        <v/>
      </c>
      <c r="Q985" s="33" t="str">
        <f t="shared" si="117"/>
        <v/>
      </c>
      <c r="R985" s="39" t="str">
        <f t="shared" si="118"/>
        <v/>
      </c>
    </row>
    <row r="986" spans="6:18" x14ac:dyDescent="0.25">
      <c r="F986" s="35">
        <v>980</v>
      </c>
      <c r="L986" s="33" t="str">
        <f t="shared" si="112"/>
        <v/>
      </c>
      <c r="M986" t="str">
        <f t="shared" si="113"/>
        <v/>
      </c>
      <c r="N986" s="33" t="str">
        <f t="shared" si="114"/>
        <v/>
      </c>
      <c r="O986" s="33" t="str">
        <f t="shared" si="115"/>
        <v/>
      </c>
      <c r="P986" t="str">
        <f t="shared" si="116"/>
        <v/>
      </c>
      <c r="Q986" s="33" t="str">
        <f t="shared" si="117"/>
        <v/>
      </c>
      <c r="R986" s="39" t="str">
        <f t="shared" si="118"/>
        <v/>
      </c>
    </row>
    <row r="987" spans="6:18" x14ac:dyDescent="0.25">
      <c r="F987" s="35">
        <v>981</v>
      </c>
      <c r="L987" s="33" t="str">
        <f t="shared" si="112"/>
        <v/>
      </c>
      <c r="M987" t="str">
        <f t="shared" si="113"/>
        <v/>
      </c>
      <c r="N987" s="33" t="str">
        <f t="shared" si="114"/>
        <v/>
      </c>
      <c r="O987" s="33" t="str">
        <f t="shared" si="115"/>
        <v/>
      </c>
      <c r="P987" t="str">
        <f t="shared" si="116"/>
        <v/>
      </c>
      <c r="Q987" s="33" t="str">
        <f t="shared" si="117"/>
        <v/>
      </c>
      <c r="R987" s="39" t="str">
        <f t="shared" si="118"/>
        <v/>
      </c>
    </row>
    <row r="988" spans="6:18" x14ac:dyDescent="0.25">
      <c r="F988" s="35">
        <v>982</v>
      </c>
      <c r="L988" s="33" t="str">
        <f t="shared" si="112"/>
        <v/>
      </c>
      <c r="M988" t="str">
        <f t="shared" si="113"/>
        <v/>
      </c>
      <c r="N988" s="33" t="str">
        <f t="shared" si="114"/>
        <v/>
      </c>
      <c r="O988" s="33" t="str">
        <f t="shared" si="115"/>
        <v/>
      </c>
      <c r="P988" t="str">
        <f t="shared" si="116"/>
        <v/>
      </c>
      <c r="Q988" s="33" t="str">
        <f t="shared" si="117"/>
        <v/>
      </c>
      <c r="R988" s="39" t="str">
        <f t="shared" si="118"/>
        <v/>
      </c>
    </row>
    <row r="989" spans="6:18" x14ac:dyDescent="0.25">
      <c r="F989" s="35">
        <v>983</v>
      </c>
      <c r="L989" s="33" t="str">
        <f t="shared" si="112"/>
        <v/>
      </c>
      <c r="M989" t="str">
        <f t="shared" si="113"/>
        <v/>
      </c>
      <c r="N989" s="33" t="str">
        <f t="shared" si="114"/>
        <v/>
      </c>
      <c r="O989" s="33" t="str">
        <f t="shared" si="115"/>
        <v/>
      </c>
      <c r="P989" t="str">
        <f t="shared" si="116"/>
        <v/>
      </c>
      <c r="Q989" s="33" t="str">
        <f t="shared" si="117"/>
        <v/>
      </c>
      <c r="R989" s="39" t="str">
        <f t="shared" si="118"/>
        <v/>
      </c>
    </row>
    <row r="990" spans="6:18" x14ac:dyDescent="0.25">
      <c r="F990" s="35">
        <v>984</v>
      </c>
      <c r="L990" s="33" t="str">
        <f t="shared" si="112"/>
        <v/>
      </c>
      <c r="M990" t="str">
        <f t="shared" si="113"/>
        <v/>
      </c>
      <c r="N990" s="33" t="str">
        <f t="shared" si="114"/>
        <v/>
      </c>
      <c r="O990" s="33" t="str">
        <f t="shared" si="115"/>
        <v/>
      </c>
      <c r="P990" t="str">
        <f t="shared" si="116"/>
        <v/>
      </c>
      <c r="Q990" s="33" t="str">
        <f t="shared" si="117"/>
        <v/>
      </c>
      <c r="R990" s="39" t="str">
        <f t="shared" si="118"/>
        <v/>
      </c>
    </row>
    <row r="991" spans="6:18" x14ac:dyDescent="0.25">
      <c r="F991" s="35">
        <v>985</v>
      </c>
      <c r="L991" s="33" t="str">
        <f t="shared" si="112"/>
        <v/>
      </c>
      <c r="M991" t="str">
        <f t="shared" si="113"/>
        <v/>
      </c>
      <c r="N991" s="33" t="str">
        <f t="shared" si="114"/>
        <v/>
      </c>
      <c r="O991" s="33" t="str">
        <f t="shared" si="115"/>
        <v/>
      </c>
      <c r="P991" t="str">
        <f t="shared" si="116"/>
        <v/>
      </c>
      <c r="Q991" s="33" t="str">
        <f t="shared" si="117"/>
        <v/>
      </c>
      <c r="R991" s="39" t="str">
        <f t="shared" si="118"/>
        <v/>
      </c>
    </row>
    <row r="992" spans="6:18" x14ac:dyDescent="0.25">
      <c r="F992" s="35">
        <v>986</v>
      </c>
      <c r="L992" s="33" t="str">
        <f t="shared" si="112"/>
        <v/>
      </c>
      <c r="M992" t="str">
        <f t="shared" si="113"/>
        <v/>
      </c>
      <c r="N992" s="33" t="str">
        <f t="shared" si="114"/>
        <v/>
      </c>
      <c r="O992" s="33" t="str">
        <f t="shared" si="115"/>
        <v/>
      </c>
      <c r="P992" t="str">
        <f t="shared" si="116"/>
        <v/>
      </c>
      <c r="Q992" s="33" t="str">
        <f t="shared" si="117"/>
        <v/>
      </c>
      <c r="R992" s="39" t="str">
        <f t="shared" si="118"/>
        <v/>
      </c>
    </row>
    <row r="993" spans="6:18" x14ac:dyDescent="0.25">
      <c r="F993" s="35">
        <v>987</v>
      </c>
      <c r="L993" s="33" t="str">
        <f t="shared" si="112"/>
        <v/>
      </c>
      <c r="M993" t="str">
        <f t="shared" si="113"/>
        <v/>
      </c>
      <c r="N993" s="33" t="str">
        <f t="shared" si="114"/>
        <v/>
      </c>
      <c r="O993" s="33" t="str">
        <f t="shared" si="115"/>
        <v/>
      </c>
      <c r="P993" t="str">
        <f t="shared" si="116"/>
        <v/>
      </c>
      <c r="Q993" s="33" t="str">
        <f t="shared" si="117"/>
        <v/>
      </c>
      <c r="R993" s="39" t="str">
        <f t="shared" si="118"/>
        <v/>
      </c>
    </row>
    <row r="994" spans="6:18" x14ac:dyDescent="0.25">
      <c r="F994" s="35">
        <v>988</v>
      </c>
      <c r="L994" s="33" t="str">
        <f t="shared" si="112"/>
        <v/>
      </c>
      <c r="M994" t="str">
        <f t="shared" si="113"/>
        <v/>
      </c>
      <c r="N994" s="33" t="str">
        <f t="shared" si="114"/>
        <v/>
      </c>
      <c r="O994" s="33" t="str">
        <f t="shared" si="115"/>
        <v/>
      </c>
      <c r="P994" t="str">
        <f t="shared" si="116"/>
        <v/>
      </c>
      <c r="Q994" s="33" t="str">
        <f t="shared" si="117"/>
        <v/>
      </c>
      <c r="R994" s="39" t="str">
        <f t="shared" si="118"/>
        <v/>
      </c>
    </row>
    <row r="995" spans="6:18" x14ac:dyDescent="0.25">
      <c r="F995" s="35">
        <v>989</v>
      </c>
      <c r="L995" s="33" t="str">
        <f t="shared" si="112"/>
        <v/>
      </c>
      <c r="M995" t="str">
        <f t="shared" si="113"/>
        <v/>
      </c>
      <c r="N995" s="33" t="str">
        <f t="shared" si="114"/>
        <v/>
      </c>
      <c r="O995" s="33" t="str">
        <f t="shared" si="115"/>
        <v/>
      </c>
      <c r="P995" t="str">
        <f t="shared" si="116"/>
        <v/>
      </c>
      <c r="Q995" s="33" t="str">
        <f t="shared" si="117"/>
        <v/>
      </c>
      <c r="R995" s="39" t="str">
        <f t="shared" si="118"/>
        <v/>
      </c>
    </row>
    <row r="996" spans="6:18" x14ac:dyDescent="0.25">
      <c r="F996" s="35">
        <v>990</v>
      </c>
      <c r="L996" s="33" t="str">
        <f t="shared" si="112"/>
        <v/>
      </c>
      <c r="M996" t="str">
        <f t="shared" si="113"/>
        <v/>
      </c>
      <c r="N996" s="33" t="str">
        <f t="shared" si="114"/>
        <v/>
      </c>
      <c r="O996" s="33" t="str">
        <f t="shared" si="115"/>
        <v/>
      </c>
      <c r="P996" t="str">
        <f t="shared" si="116"/>
        <v/>
      </c>
      <c r="Q996" s="33" t="str">
        <f t="shared" si="117"/>
        <v/>
      </c>
      <c r="R996" s="39" t="str">
        <f t="shared" si="118"/>
        <v/>
      </c>
    </row>
    <row r="997" spans="6:18" x14ac:dyDescent="0.25">
      <c r="F997" s="35">
        <v>991</v>
      </c>
      <c r="L997" s="33" t="str">
        <f t="shared" si="112"/>
        <v/>
      </c>
      <c r="M997" t="str">
        <f t="shared" si="113"/>
        <v/>
      </c>
      <c r="N997" s="33" t="str">
        <f t="shared" si="114"/>
        <v/>
      </c>
      <c r="O997" s="33" t="str">
        <f t="shared" si="115"/>
        <v/>
      </c>
      <c r="P997" t="str">
        <f t="shared" si="116"/>
        <v/>
      </c>
      <c r="Q997" s="33" t="str">
        <f t="shared" si="117"/>
        <v/>
      </c>
      <c r="R997" s="39" t="str">
        <f t="shared" si="118"/>
        <v/>
      </c>
    </row>
    <row r="998" spans="6:18" x14ac:dyDescent="0.25">
      <c r="F998" s="35">
        <v>992</v>
      </c>
      <c r="L998" s="33" t="str">
        <f t="shared" si="112"/>
        <v/>
      </c>
      <c r="M998" t="str">
        <f t="shared" si="113"/>
        <v/>
      </c>
      <c r="N998" s="33" t="str">
        <f t="shared" si="114"/>
        <v/>
      </c>
      <c r="O998" s="33" t="str">
        <f t="shared" si="115"/>
        <v/>
      </c>
      <c r="P998" t="str">
        <f t="shared" si="116"/>
        <v/>
      </c>
      <c r="Q998" s="33" t="str">
        <f t="shared" si="117"/>
        <v/>
      </c>
      <c r="R998" s="39" t="str">
        <f t="shared" si="118"/>
        <v/>
      </c>
    </row>
    <row r="999" spans="6:18" x14ac:dyDescent="0.25">
      <c r="F999" s="35">
        <v>993</v>
      </c>
      <c r="L999" s="33" t="str">
        <f t="shared" si="112"/>
        <v/>
      </c>
      <c r="M999" t="str">
        <f t="shared" si="113"/>
        <v/>
      </c>
      <c r="N999" s="33" t="str">
        <f t="shared" si="114"/>
        <v/>
      </c>
      <c r="O999" s="33" t="str">
        <f t="shared" si="115"/>
        <v/>
      </c>
      <c r="P999" t="str">
        <f t="shared" si="116"/>
        <v/>
      </c>
      <c r="Q999" s="33" t="str">
        <f t="shared" si="117"/>
        <v/>
      </c>
      <c r="R999" s="39" t="str">
        <f t="shared" si="118"/>
        <v/>
      </c>
    </row>
    <row r="1000" spans="6:18" x14ac:dyDescent="0.25">
      <c r="F1000" s="35">
        <v>994</v>
      </c>
      <c r="L1000" s="33" t="str">
        <f t="shared" si="112"/>
        <v/>
      </c>
      <c r="M1000" t="str">
        <f t="shared" si="113"/>
        <v/>
      </c>
      <c r="N1000" s="33" t="str">
        <f t="shared" si="114"/>
        <v/>
      </c>
      <c r="O1000" s="33" t="str">
        <f t="shared" si="115"/>
        <v/>
      </c>
      <c r="P1000" t="str">
        <f t="shared" si="116"/>
        <v/>
      </c>
      <c r="Q1000" s="33" t="str">
        <f t="shared" si="117"/>
        <v/>
      </c>
      <c r="R1000" s="39" t="str">
        <f t="shared" si="118"/>
        <v/>
      </c>
    </row>
    <row r="1001" spans="6:18" x14ac:dyDescent="0.25">
      <c r="F1001" s="35">
        <v>995</v>
      </c>
      <c r="L1001" s="33" t="str">
        <f t="shared" si="112"/>
        <v/>
      </c>
      <c r="M1001" t="str">
        <f t="shared" si="113"/>
        <v/>
      </c>
      <c r="N1001" s="33" t="str">
        <f t="shared" si="114"/>
        <v/>
      </c>
      <c r="O1001" s="33" t="str">
        <f t="shared" si="115"/>
        <v/>
      </c>
      <c r="P1001" t="str">
        <f t="shared" si="116"/>
        <v/>
      </c>
      <c r="Q1001" s="33" t="str">
        <f t="shared" si="117"/>
        <v/>
      </c>
      <c r="R1001" s="39" t="str">
        <f t="shared" si="118"/>
        <v/>
      </c>
    </row>
    <row r="1002" spans="6:18" x14ac:dyDescent="0.25">
      <c r="F1002" s="35">
        <v>996</v>
      </c>
      <c r="L1002" s="33" t="str">
        <f t="shared" si="112"/>
        <v/>
      </c>
      <c r="M1002" t="str">
        <f t="shared" si="113"/>
        <v/>
      </c>
      <c r="N1002" s="33" t="str">
        <f t="shared" si="114"/>
        <v/>
      </c>
      <c r="O1002" s="33" t="str">
        <f t="shared" si="115"/>
        <v/>
      </c>
      <c r="P1002" t="str">
        <f t="shared" si="116"/>
        <v/>
      </c>
      <c r="Q1002" s="33" t="str">
        <f t="shared" si="117"/>
        <v/>
      </c>
      <c r="R1002" s="39" t="str">
        <f t="shared" si="118"/>
        <v/>
      </c>
    </row>
    <row r="1003" spans="6:18" x14ac:dyDescent="0.25">
      <c r="F1003" s="35">
        <v>997</v>
      </c>
      <c r="L1003" s="33" t="str">
        <f t="shared" si="112"/>
        <v/>
      </c>
      <c r="M1003" t="str">
        <f t="shared" si="113"/>
        <v/>
      </c>
      <c r="N1003" s="33" t="str">
        <f t="shared" si="114"/>
        <v/>
      </c>
      <c r="O1003" s="33" t="str">
        <f t="shared" si="115"/>
        <v/>
      </c>
      <c r="P1003" t="str">
        <f t="shared" si="116"/>
        <v/>
      </c>
      <c r="Q1003" s="33" t="str">
        <f t="shared" si="117"/>
        <v/>
      </c>
      <c r="R1003" s="39" t="str">
        <f t="shared" si="118"/>
        <v/>
      </c>
    </row>
    <row r="1004" spans="6:18" x14ac:dyDescent="0.25">
      <c r="F1004" s="35">
        <v>998</v>
      </c>
      <c r="L1004" s="33" t="str">
        <f t="shared" si="112"/>
        <v/>
      </c>
      <c r="M1004" t="str">
        <f t="shared" si="113"/>
        <v/>
      </c>
      <c r="N1004" s="33" t="str">
        <f t="shared" si="114"/>
        <v/>
      </c>
      <c r="O1004" s="33" t="str">
        <f t="shared" si="115"/>
        <v/>
      </c>
      <c r="P1004" t="str">
        <f t="shared" si="116"/>
        <v/>
      </c>
      <c r="Q1004" s="33" t="str">
        <f t="shared" si="117"/>
        <v/>
      </c>
      <c r="R1004" s="39" t="str">
        <f t="shared" si="118"/>
        <v/>
      </c>
    </row>
    <row r="1005" spans="6:18" x14ac:dyDescent="0.25">
      <c r="F1005" s="35">
        <v>999</v>
      </c>
      <c r="L1005" s="33" t="str">
        <f t="shared" si="112"/>
        <v/>
      </c>
      <c r="M1005" t="str">
        <f t="shared" si="113"/>
        <v/>
      </c>
      <c r="N1005" s="33" t="str">
        <f t="shared" si="114"/>
        <v/>
      </c>
      <c r="O1005" s="33" t="str">
        <f t="shared" si="115"/>
        <v/>
      </c>
      <c r="P1005" t="str">
        <f t="shared" si="116"/>
        <v/>
      </c>
      <c r="Q1005" s="33" t="str">
        <f t="shared" si="117"/>
        <v/>
      </c>
      <c r="R1005" s="39" t="str">
        <f t="shared" si="118"/>
        <v/>
      </c>
    </row>
    <row r="1006" spans="6:18" x14ac:dyDescent="0.25">
      <c r="F1006" s="35">
        <v>1000</v>
      </c>
      <c r="L1006" s="33" t="str">
        <f t="shared" si="112"/>
        <v/>
      </c>
      <c r="M1006" t="str">
        <f t="shared" si="113"/>
        <v/>
      </c>
      <c r="N1006" s="33" t="str">
        <f t="shared" si="114"/>
        <v/>
      </c>
      <c r="O1006" s="33" t="str">
        <f t="shared" si="115"/>
        <v/>
      </c>
      <c r="P1006" t="str">
        <f t="shared" si="116"/>
        <v/>
      </c>
      <c r="Q1006" s="33" t="str">
        <f t="shared" si="117"/>
        <v/>
      </c>
      <c r="R1006" s="39" t="str">
        <f t="shared" si="118"/>
        <v/>
      </c>
    </row>
    <row r="1007" spans="6:18" x14ac:dyDescent="0.25">
      <c r="F1007" s="35">
        <v>1001</v>
      </c>
      <c r="L1007" s="33" t="str">
        <f t="shared" si="112"/>
        <v/>
      </c>
      <c r="M1007" t="str">
        <f t="shared" si="113"/>
        <v/>
      </c>
      <c r="N1007" s="33" t="str">
        <f t="shared" si="114"/>
        <v/>
      </c>
      <c r="O1007" s="33" t="str">
        <f t="shared" si="115"/>
        <v/>
      </c>
      <c r="P1007" t="str">
        <f t="shared" si="116"/>
        <v/>
      </c>
      <c r="Q1007" s="33" t="str">
        <f t="shared" si="117"/>
        <v/>
      </c>
      <c r="R1007" s="39" t="str">
        <f t="shared" si="118"/>
        <v/>
      </c>
    </row>
    <row r="1008" spans="6:18" x14ac:dyDescent="0.25">
      <c r="F1008" s="35">
        <v>1002</v>
      </c>
      <c r="L1008" s="33" t="str">
        <f t="shared" si="112"/>
        <v/>
      </c>
      <c r="M1008" t="str">
        <f t="shared" si="113"/>
        <v/>
      </c>
      <c r="N1008" s="33" t="str">
        <f t="shared" si="114"/>
        <v/>
      </c>
      <c r="O1008" s="33" t="str">
        <f t="shared" si="115"/>
        <v/>
      </c>
      <c r="P1008" t="str">
        <f t="shared" si="116"/>
        <v/>
      </c>
      <c r="Q1008" s="33" t="str">
        <f t="shared" si="117"/>
        <v/>
      </c>
      <c r="R1008" s="39" t="str">
        <f t="shared" si="118"/>
        <v/>
      </c>
    </row>
    <row r="1009" spans="6:18" x14ac:dyDescent="0.25">
      <c r="F1009" s="35">
        <v>1003</v>
      </c>
      <c r="L1009" s="33" t="str">
        <f t="shared" si="112"/>
        <v/>
      </c>
      <c r="M1009" t="str">
        <f t="shared" si="113"/>
        <v/>
      </c>
      <c r="N1009" s="33" t="str">
        <f t="shared" si="114"/>
        <v/>
      </c>
      <c r="O1009" s="33" t="str">
        <f t="shared" si="115"/>
        <v/>
      </c>
      <c r="P1009" t="str">
        <f t="shared" si="116"/>
        <v/>
      </c>
      <c r="Q1009" s="33" t="str">
        <f t="shared" si="117"/>
        <v/>
      </c>
      <c r="R1009" s="39" t="str">
        <f t="shared" si="118"/>
        <v/>
      </c>
    </row>
    <row r="1010" spans="6:18" x14ac:dyDescent="0.25">
      <c r="F1010" s="35">
        <v>1004</v>
      </c>
      <c r="L1010" s="33" t="str">
        <f t="shared" si="112"/>
        <v/>
      </c>
      <c r="M1010" t="str">
        <f t="shared" si="113"/>
        <v/>
      </c>
      <c r="N1010" s="33" t="str">
        <f t="shared" si="114"/>
        <v/>
      </c>
      <c r="O1010" s="33" t="str">
        <f t="shared" si="115"/>
        <v/>
      </c>
      <c r="P1010" t="str">
        <f t="shared" si="116"/>
        <v/>
      </c>
      <c r="Q1010" s="33" t="str">
        <f t="shared" si="117"/>
        <v/>
      </c>
      <c r="R1010" s="39" t="str">
        <f t="shared" si="118"/>
        <v/>
      </c>
    </row>
    <row r="1011" spans="6:18" x14ac:dyDescent="0.25">
      <c r="F1011" s="35">
        <v>1005</v>
      </c>
      <c r="L1011" s="33" t="str">
        <f t="shared" si="112"/>
        <v/>
      </c>
      <c r="M1011" t="str">
        <f t="shared" si="113"/>
        <v/>
      </c>
      <c r="N1011" s="33" t="str">
        <f t="shared" si="114"/>
        <v/>
      </c>
      <c r="O1011" s="33" t="str">
        <f t="shared" si="115"/>
        <v/>
      </c>
      <c r="P1011" t="str">
        <f t="shared" si="116"/>
        <v/>
      </c>
      <c r="Q1011" s="33" t="str">
        <f t="shared" si="117"/>
        <v/>
      </c>
      <c r="R1011" s="39" t="str">
        <f t="shared" si="118"/>
        <v/>
      </c>
    </row>
    <row r="1012" spans="6:18" x14ac:dyDescent="0.25">
      <c r="F1012" s="35">
        <v>1006</v>
      </c>
      <c r="L1012" s="33" t="str">
        <f t="shared" si="112"/>
        <v/>
      </c>
      <c r="M1012" t="str">
        <f t="shared" si="113"/>
        <v/>
      </c>
      <c r="N1012" s="33" t="str">
        <f t="shared" si="114"/>
        <v/>
      </c>
      <c r="O1012" s="33" t="str">
        <f t="shared" si="115"/>
        <v/>
      </c>
      <c r="P1012" t="str">
        <f t="shared" si="116"/>
        <v/>
      </c>
      <c r="Q1012" s="33" t="str">
        <f t="shared" si="117"/>
        <v/>
      </c>
      <c r="R1012" s="39" t="str">
        <f t="shared" si="118"/>
        <v/>
      </c>
    </row>
    <row r="1013" spans="6:18" x14ac:dyDescent="0.25">
      <c r="F1013" s="35">
        <v>1007</v>
      </c>
      <c r="L1013" s="33" t="str">
        <f t="shared" si="112"/>
        <v/>
      </c>
      <c r="M1013" t="str">
        <f t="shared" si="113"/>
        <v/>
      </c>
      <c r="N1013" s="33" t="str">
        <f t="shared" si="114"/>
        <v/>
      </c>
      <c r="O1013" s="33" t="str">
        <f t="shared" si="115"/>
        <v/>
      </c>
      <c r="P1013" t="str">
        <f t="shared" si="116"/>
        <v/>
      </c>
      <c r="Q1013" s="33" t="str">
        <f t="shared" si="117"/>
        <v/>
      </c>
      <c r="R1013" s="39" t="str">
        <f t="shared" si="118"/>
        <v/>
      </c>
    </row>
    <row r="1014" spans="6:18" x14ac:dyDescent="0.25">
      <c r="F1014" s="35">
        <v>1008</v>
      </c>
      <c r="L1014" s="33" t="str">
        <f t="shared" si="112"/>
        <v/>
      </c>
      <c r="M1014" t="str">
        <f t="shared" si="113"/>
        <v/>
      </c>
      <c r="N1014" s="33" t="str">
        <f t="shared" si="114"/>
        <v/>
      </c>
      <c r="O1014" s="33" t="str">
        <f t="shared" si="115"/>
        <v/>
      </c>
      <c r="P1014" t="str">
        <f t="shared" si="116"/>
        <v/>
      </c>
      <c r="Q1014" s="33" t="str">
        <f t="shared" si="117"/>
        <v/>
      </c>
      <c r="R1014" s="39" t="str">
        <f t="shared" si="118"/>
        <v/>
      </c>
    </row>
    <row r="1015" spans="6:18" x14ac:dyDescent="0.25">
      <c r="F1015" s="35">
        <v>1009</v>
      </c>
      <c r="L1015" s="33" t="str">
        <f t="shared" si="112"/>
        <v/>
      </c>
      <c r="M1015" t="str">
        <f t="shared" si="113"/>
        <v/>
      </c>
      <c r="N1015" s="33" t="str">
        <f t="shared" si="114"/>
        <v/>
      </c>
      <c r="O1015" s="33" t="str">
        <f t="shared" si="115"/>
        <v/>
      </c>
      <c r="P1015" t="str">
        <f t="shared" si="116"/>
        <v/>
      </c>
      <c r="Q1015" s="33" t="str">
        <f t="shared" si="117"/>
        <v/>
      </c>
      <c r="R1015" s="39" t="str">
        <f t="shared" si="118"/>
        <v/>
      </c>
    </row>
    <row r="1016" spans="6:18" x14ac:dyDescent="0.25">
      <c r="F1016" s="35">
        <v>1010</v>
      </c>
      <c r="L1016" s="33" t="str">
        <f t="shared" si="112"/>
        <v/>
      </c>
      <c r="M1016" t="str">
        <f t="shared" si="113"/>
        <v/>
      </c>
      <c r="N1016" s="33" t="str">
        <f t="shared" si="114"/>
        <v/>
      </c>
      <c r="O1016" s="33" t="str">
        <f t="shared" si="115"/>
        <v/>
      </c>
      <c r="P1016" t="str">
        <f t="shared" si="116"/>
        <v/>
      </c>
      <c r="Q1016" s="33" t="str">
        <f t="shared" si="117"/>
        <v/>
      </c>
      <c r="R1016" s="39" t="str">
        <f t="shared" si="118"/>
        <v/>
      </c>
    </row>
    <row r="1017" spans="6:18" x14ac:dyDescent="0.25">
      <c r="F1017" s="35">
        <v>1011</v>
      </c>
      <c r="L1017" s="33" t="str">
        <f t="shared" si="112"/>
        <v/>
      </c>
      <c r="M1017" t="str">
        <f t="shared" si="113"/>
        <v/>
      </c>
      <c r="N1017" s="33" t="str">
        <f t="shared" si="114"/>
        <v/>
      </c>
      <c r="O1017" s="33" t="str">
        <f t="shared" si="115"/>
        <v/>
      </c>
      <c r="P1017" t="str">
        <f t="shared" si="116"/>
        <v/>
      </c>
      <c r="Q1017" s="33" t="str">
        <f t="shared" si="117"/>
        <v/>
      </c>
      <c r="R1017" s="39" t="str">
        <f t="shared" si="118"/>
        <v/>
      </c>
    </row>
    <row r="1018" spans="6:18" x14ac:dyDescent="0.25">
      <c r="F1018" s="35">
        <v>1012</v>
      </c>
      <c r="L1018" s="33" t="str">
        <f t="shared" si="112"/>
        <v/>
      </c>
      <c r="M1018" t="str">
        <f t="shared" si="113"/>
        <v/>
      </c>
      <c r="N1018" s="33" t="str">
        <f t="shared" si="114"/>
        <v/>
      </c>
      <c r="O1018" s="33" t="str">
        <f t="shared" si="115"/>
        <v/>
      </c>
      <c r="P1018" t="str">
        <f t="shared" si="116"/>
        <v/>
      </c>
      <c r="Q1018" s="33" t="str">
        <f t="shared" si="117"/>
        <v/>
      </c>
      <c r="R1018" s="39" t="str">
        <f t="shared" si="118"/>
        <v/>
      </c>
    </row>
    <row r="1019" spans="6:18" x14ac:dyDescent="0.25">
      <c r="F1019" s="35">
        <v>1013</v>
      </c>
      <c r="L1019" s="33" t="str">
        <f t="shared" si="112"/>
        <v/>
      </c>
      <c r="M1019" t="str">
        <f t="shared" si="113"/>
        <v/>
      </c>
      <c r="N1019" s="33" t="str">
        <f t="shared" si="114"/>
        <v/>
      </c>
      <c r="O1019" s="33" t="str">
        <f t="shared" si="115"/>
        <v/>
      </c>
      <c r="P1019" t="str">
        <f t="shared" si="116"/>
        <v/>
      </c>
      <c r="Q1019" s="33" t="str">
        <f t="shared" si="117"/>
        <v/>
      </c>
      <c r="R1019" s="39" t="str">
        <f t="shared" si="118"/>
        <v/>
      </c>
    </row>
    <row r="1020" spans="6:18" x14ac:dyDescent="0.25">
      <c r="F1020" s="35">
        <v>1014</v>
      </c>
      <c r="L1020" s="33" t="str">
        <f t="shared" si="112"/>
        <v/>
      </c>
      <c r="M1020" t="str">
        <f t="shared" si="113"/>
        <v/>
      </c>
      <c r="N1020" s="33" t="str">
        <f t="shared" si="114"/>
        <v/>
      </c>
      <c r="O1020" s="33" t="str">
        <f t="shared" si="115"/>
        <v/>
      </c>
      <c r="P1020" t="str">
        <f t="shared" si="116"/>
        <v/>
      </c>
      <c r="Q1020" s="33" t="str">
        <f t="shared" si="117"/>
        <v/>
      </c>
      <c r="R1020" s="39" t="str">
        <f t="shared" si="118"/>
        <v/>
      </c>
    </row>
    <row r="1021" spans="6:18" x14ac:dyDescent="0.25">
      <c r="F1021" s="35">
        <v>1015</v>
      </c>
      <c r="L1021" s="33" t="str">
        <f t="shared" si="112"/>
        <v/>
      </c>
      <c r="M1021" t="str">
        <f t="shared" si="113"/>
        <v/>
      </c>
      <c r="N1021" s="33" t="str">
        <f t="shared" si="114"/>
        <v/>
      </c>
      <c r="O1021" s="33" t="str">
        <f t="shared" si="115"/>
        <v/>
      </c>
      <c r="P1021" t="str">
        <f t="shared" si="116"/>
        <v/>
      </c>
      <c r="Q1021" s="33" t="str">
        <f t="shared" si="117"/>
        <v/>
      </c>
      <c r="R1021" s="39" t="str">
        <f t="shared" si="118"/>
        <v/>
      </c>
    </row>
    <row r="1022" spans="6:18" x14ac:dyDescent="0.25">
      <c r="F1022" s="35">
        <v>1016</v>
      </c>
      <c r="L1022" s="33" t="str">
        <f t="shared" si="112"/>
        <v/>
      </c>
      <c r="M1022" t="str">
        <f t="shared" si="113"/>
        <v/>
      </c>
      <c r="N1022" s="33" t="str">
        <f t="shared" si="114"/>
        <v/>
      </c>
      <c r="O1022" s="33" t="str">
        <f t="shared" si="115"/>
        <v/>
      </c>
      <c r="P1022" t="str">
        <f t="shared" si="116"/>
        <v/>
      </c>
      <c r="Q1022" s="33" t="str">
        <f t="shared" si="117"/>
        <v/>
      </c>
      <c r="R1022" s="39" t="str">
        <f t="shared" si="118"/>
        <v/>
      </c>
    </row>
    <row r="1023" spans="6:18" x14ac:dyDescent="0.25">
      <c r="F1023" s="35">
        <v>1017</v>
      </c>
      <c r="L1023" s="33" t="str">
        <f t="shared" si="112"/>
        <v/>
      </c>
      <c r="M1023" t="str">
        <f t="shared" si="113"/>
        <v/>
      </c>
      <c r="N1023" s="33" t="str">
        <f t="shared" si="114"/>
        <v/>
      </c>
      <c r="O1023" s="33" t="str">
        <f t="shared" si="115"/>
        <v/>
      </c>
      <c r="P1023" t="str">
        <f t="shared" si="116"/>
        <v/>
      </c>
      <c r="Q1023" s="33" t="str">
        <f t="shared" si="117"/>
        <v/>
      </c>
      <c r="R1023" s="39" t="str">
        <f t="shared" si="118"/>
        <v/>
      </c>
    </row>
    <row r="1024" spans="6:18" x14ac:dyDescent="0.25">
      <c r="F1024" s="35">
        <v>1018</v>
      </c>
      <c r="L1024" s="33" t="str">
        <f t="shared" si="112"/>
        <v/>
      </c>
      <c r="M1024" t="str">
        <f t="shared" si="113"/>
        <v/>
      </c>
      <c r="N1024" s="33" t="str">
        <f t="shared" si="114"/>
        <v/>
      </c>
      <c r="O1024" s="33" t="str">
        <f t="shared" si="115"/>
        <v/>
      </c>
      <c r="P1024" t="str">
        <f t="shared" si="116"/>
        <v/>
      </c>
      <c r="Q1024" s="33" t="str">
        <f t="shared" si="117"/>
        <v/>
      </c>
      <c r="R1024" s="39" t="str">
        <f t="shared" si="118"/>
        <v/>
      </c>
    </row>
    <row r="1025" spans="6:18" x14ac:dyDescent="0.25">
      <c r="F1025" s="35">
        <v>1019</v>
      </c>
      <c r="L1025" s="33" t="str">
        <f t="shared" si="112"/>
        <v/>
      </c>
      <c r="M1025" t="str">
        <f t="shared" si="113"/>
        <v/>
      </c>
      <c r="N1025" s="33" t="str">
        <f t="shared" si="114"/>
        <v/>
      </c>
      <c r="O1025" s="33" t="str">
        <f t="shared" si="115"/>
        <v/>
      </c>
      <c r="P1025" t="str">
        <f t="shared" si="116"/>
        <v/>
      </c>
      <c r="Q1025" s="33" t="str">
        <f t="shared" si="117"/>
        <v/>
      </c>
      <c r="R1025" s="39" t="str">
        <f t="shared" si="118"/>
        <v/>
      </c>
    </row>
    <row r="1026" spans="6:18" x14ac:dyDescent="0.25">
      <c r="F1026" s="35">
        <v>1020</v>
      </c>
      <c r="L1026" s="33" t="str">
        <f t="shared" si="112"/>
        <v/>
      </c>
      <c r="M1026" t="str">
        <f t="shared" si="113"/>
        <v/>
      </c>
      <c r="N1026" s="33" t="str">
        <f t="shared" si="114"/>
        <v/>
      </c>
      <c r="O1026" s="33" t="str">
        <f t="shared" si="115"/>
        <v/>
      </c>
      <c r="P1026" t="str">
        <f t="shared" si="116"/>
        <v/>
      </c>
      <c r="Q1026" s="33" t="str">
        <f t="shared" si="117"/>
        <v/>
      </c>
      <c r="R1026" s="39" t="str">
        <f t="shared" si="118"/>
        <v/>
      </c>
    </row>
    <row r="1027" spans="6:18" x14ac:dyDescent="0.25">
      <c r="F1027" s="35">
        <v>1021</v>
      </c>
      <c r="L1027" s="33" t="str">
        <f t="shared" si="112"/>
        <v/>
      </c>
      <c r="M1027" t="str">
        <f t="shared" si="113"/>
        <v/>
      </c>
      <c r="N1027" s="33" t="str">
        <f t="shared" si="114"/>
        <v/>
      </c>
      <c r="O1027" s="33" t="str">
        <f t="shared" si="115"/>
        <v/>
      </c>
      <c r="P1027" t="str">
        <f t="shared" si="116"/>
        <v/>
      </c>
      <c r="Q1027" s="33" t="str">
        <f t="shared" si="117"/>
        <v/>
      </c>
      <c r="R1027" s="39" t="str">
        <f t="shared" si="118"/>
        <v/>
      </c>
    </row>
    <row r="1028" spans="6:18" x14ac:dyDescent="0.25">
      <c r="F1028" s="35">
        <v>1022</v>
      </c>
      <c r="L1028" s="33" t="str">
        <f t="shared" si="112"/>
        <v/>
      </c>
      <c r="M1028" t="str">
        <f t="shared" si="113"/>
        <v/>
      </c>
      <c r="N1028" s="33" t="str">
        <f t="shared" si="114"/>
        <v/>
      </c>
      <c r="O1028" s="33" t="str">
        <f t="shared" si="115"/>
        <v/>
      </c>
      <c r="P1028" t="str">
        <f t="shared" si="116"/>
        <v/>
      </c>
      <c r="Q1028" s="33" t="str">
        <f t="shared" si="117"/>
        <v/>
      </c>
      <c r="R1028" s="39" t="str">
        <f t="shared" si="118"/>
        <v/>
      </c>
    </row>
    <row r="1029" spans="6:18" x14ac:dyDescent="0.25">
      <c r="F1029" s="35">
        <v>1023</v>
      </c>
      <c r="L1029" s="33" t="str">
        <f t="shared" si="112"/>
        <v/>
      </c>
      <c r="M1029" t="str">
        <f t="shared" si="113"/>
        <v/>
      </c>
      <c r="N1029" s="33" t="str">
        <f t="shared" si="114"/>
        <v/>
      </c>
      <c r="O1029" s="33" t="str">
        <f t="shared" si="115"/>
        <v/>
      </c>
      <c r="P1029" t="str">
        <f t="shared" si="116"/>
        <v/>
      </c>
      <c r="Q1029" s="33" t="str">
        <f t="shared" si="117"/>
        <v/>
      </c>
      <c r="R1029" s="39" t="str">
        <f t="shared" si="118"/>
        <v/>
      </c>
    </row>
    <row r="1030" spans="6:18" x14ac:dyDescent="0.25">
      <c r="F1030" s="35">
        <v>1024</v>
      </c>
      <c r="L1030" s="33" t="str">
        <f t="shared" si="112"/>
        <v/>
      </c>
      <c r="M1030" t="str">
        <f t="shared" si="113"/>
        <v/>
      </c>
      <c r="N1030" s="33" t="str">
        <f t="shared" si="114"/>
        <v/>
      </c>
      <c r="O1030" s="33" t="str">
        <f t="shared" si="115"/>
        <v/>
      </c>
      <c r="P1030" t="str">
        <f t="shared" si="116"/>
        <v/>
      </c>
      <c r="Q1030" s="33" t="str">
        <f t="shared" si="117"/>
        <v/>
      </c>
      <c r="R1030" s="39" t="str">
        <f t="shared" si="118"/>
        <v/>
      </c>
    </row>
    <row r="1031" spans="6:18" x14ac:dyDescent="0.25">
      <c r="F1031" s="35">
        <v>1025</v>
      </c>
      <c r="L1031" s="33" t="str">
        <f t="shared" si="112"/>
        <v/>
      </c>
      <c r="M1031" t="str">
        <f t="shared" si="113"/>
        <v/>
      </c>
      <c r="N1031" s="33" t="str">
        <f t="shared" si="114"/>
        <v/>
      </c>
      <c r="O1031" s="33" t="str">
        <f t="shared" si="115"/>
        <v/>
      </c>
      <c r="P1031" t="str">
        <f t="shared" si="116"/>
        <v/>
      </c>
      <c r="Q1031" s="33" t="str">
        <f t="shared" si="117"/>
        <v/>
      </c>
      <c r="R1031" s="39" t="str">
        <f t="shared" si="118"/>
        <v/>
      </c>
    </row>
    <row r="1032" spans="6:18" x14ac:dyDescent="0.25">
      <c r="F1032" s="35">
        <v>1026</v>
      </c>
      <c r="L1032" s="33" t="str">
        <f t="shared" ref="L1032:L1095" si="119">IF(G1032="","",$C$4*$C$6*$C$7/360)</f>
        <v/>
      </c>
      <c r="M1032" t="str">
        <f t="shared" ref="M1032:M1095" si="120">IF(G1032="","",IF(H1032=$G$2,100,0))</f>
        <v/>
      </c>
      <c r="N1032" s="33" t="str">
        <f t="shared" ref="N1032:N1095" si="121">IF(G1032="","",L1032+M1032)</f>
        <v/>
      </c>
      <c r="O1032" s="33" t="str">
        <f t="shared" ref="O1032:O1095" si="122">IF(G1032="","",1/(1+$C$5*K1032/360)^(J1032/K1032))</f>
        <v/>
      </c>
      <c r="P1032" t="str">
        <f t="shared" ref="P1032:P1095" si="123">IF(G1032="","",H1032-$C$12)</f>
        <v/>
      </c>
      <c r="Q1032" s="33" t="str">
        <f t="shared" ref="Q1032:Q1095" si="124">IF(G1032="","",(P1032/K1032))</f>
        <v/>
      </c>
      <c r="R1032" s="39" t="str">
        <f t="shared" ref="R1032:R1095" si="125">IF(G1032="","",N1032*O1032)</f>
        <v/>
      </c>
    </row>
    <row r="1033" spans="6:18" x14ac:dyDescent="0.25">
      <c r="F1033" s="35">
        <v>1027</v>
      </c>
      <c r="L1033" s="33" t="str">
        <f t="shared" si="119"/>
        <v/>
      </c>
      <c r="M1033" t="str">
        <f t="shared" si="120"/>
        <v/>
      </c>
      <c r="N1033" s="33" t="str">
        <f t="shared" si="121"/>
        <v/>
      </c>
      <c r="O1033" s="33" t="str">
        <f t="shared" si="122"/>
        <v/>
      </c>
      <c r="P1033" t="str">
        <f t="shared" si="123"/>
        <v/>
      </c>
      <c r="Q1033" s="33" t="str">
        <f t="shared" si="124"/>
        <v/>
      </c>
      <c r="R1033" s="39" t="str">
        <f t="shared" si="125"/>
        <v/>
      </c>
    </row>
    <row r="1034" spans="6:18" x14ac:dyDescent="0.25">
      <c r="F1034" s="35">
        <v>1028</v>
      </c>
      <c r="L1034" s="33" t="str">
        <f t="shared" si="119"/>
        <v/>
      </c>
      <c r="M1034" t="str">
        <f t="shared" si="120"/>
        <v/>
      </c>
      <c r="N1034" s="33" t="str">
        <f t="shared" si="121"/>
        <v/>
      </c>
      <c r="O1034" s="33" t="str">
        <f t="shared" si="122"/>
        <v/>
      </c>
      <c r="P1034" t="str">
        <f t="shared" si="123"/>
        <v/>
      </c>
      <c r="Q1034" s="33" t="str">
        <f t="shared" si="124"/>
        <v/>
      </c>
      <c r="R1034" s="39" t="str">
        <f t="shared" si="125"/>
        <v/>
      </c>
    </row>
    <row r="1035" spans="6:18" x14ac:dyDescent="0.25">
      <c r="F1035" s="35">
        <v>1029</v>
      </c>
      <c r="L1035" s="33" t="str">
        <f t="shared" si="119"/>
        <v/>
      </c>
      <c r="M1035" t="str">
        <f t="shared" si="120"/>
        <v/>
      </c>
      <c r="N1035" s="33" t="str">
        <f t="shared" si="121"/>
        <v/>
      </c>
      <c r="O1035" s="33" t="str">
        <f t="shared" si="122"/>
        <v/>
      </c>
      <c r="P1035" t="str">
        <f t="shared" si="123"/>
        <v/>
      </c>
      <c r="Q1035" s="33" t="str">
        <f t="shared" si="124"/>
        <v/>
      </c>
      <c r="R1035" s="39" t="str">
        <f t="shared" si="125"/>
        <v/>
      </c>
    </row>
    <row r="1036" spans="6:18" x14ac:dyDescent="0.25">
      <c r="F1036" s="35">
        <v>1030</v>
      </c>
      <c r="L1036" s="33" t="str">
        <f t="shared" si="119"/>
        <v/>
      </c>
      <c r="M1036" t="str">
        <f t="shared" si="120"/>
        <v/>
      </c>
      <c r="N1036" s="33" t="str">
        <f t="shared" si="121"/>
        <v/>
      </c>
      <c r="O1036" s="33" t="str">
        <f t="shared" si="122"/>
        <v/>
      </c>
      <c r="P1036" t="str">
        <f t="shared" si="123"/>
        <v/>
      </c>
      <c r="Q1036" s="33" t="str">
        <f t="shared" si="124"/>
        <v/>
      </c>
      <c r="R1036" s="39" t="str">
        <f t="shared" si="125"/>
        <v/>
      </c>
    </row>
    <row r="1037" spans="6:18" x14ac:dyDescent="0.25">
      <c r="F1037" s="35">
        <v>1031</v>
      </c>
      <c r="L1037" s="33" t="str">
        <f t="shared" si="119"/>
        <v/>
      </c>
      <c r="M1037" t="str">
        <f t="shared" si="120"/>
        <v/>
      </c>
      <c r="N1037" s="33" t="str">
        <f t="shared" si="121"/>
        <v/>
      </c>
      <c r="O1037" s="33" t="str">
        <f t="shared" si="122"/>
        <v/>
      </c>
      <c r="P1037" t="str">
        <f t="shared" si="123"/>
        <v/>
      </c>
      <c r="Q1037" s="33" t="str">
        <f t="shared" si="124"/>
        <v/>
      </c>
      <c r="R1037" s="39" t="str">
        <f t="shared" si="125"/>
        <v/>
      </c>
    </row>
    <row r="1038" spans="6:18" x14ac:dyDescent="0.25">
      <c r="F1038" s="35">
        <v>1032</v>
      </c>
      <c r="L1038" s="33" t="str">
        <f t="shared" si="119"/>
        <v/>
      </c>
      <c r="M1038" t="str">
        <f t="shared" si="120"/>
        <v/>
      </c>
      <c r="N1038" s="33" t="str">
        <f t="shared" si="121"/>
        <v/>
      </c>
      <c r="O1038" s="33" t="str">
        <f t="shared" si="122"/>
        <v/>
      </c>
      <c r="P1038" t="str">
        <f t="shared" si="123"/>
        <v/>
      </c>
      <c r="Q1038" s="33" t="str">
        <f t="shared" si="124"/>
        <v/>
      </c>
      <c r="R1038" s="39" t="str">
        <f t="shared" si="125"/>
        <v/>
      </c>
    </row>
    <row r="1039" spans="6:18" x14ac:dyDescent="0.25">
      <c r="F1039" s="35">
        <v>1033</v>
      </c>
      <c r="L1039" s="33" t="str">
        <f t="shared" si="119"/>
        <v/>
      </c>
      <c r="M1039" t="str">
        <f t="shared" si="120"/>
        <v/>
      </c>
      <c r="N1039" s="33" t="str">
        <f t="shared" si="121"/>
        <v/>
      </c>
      <c r="O1039" s="33" t="str">
        <f t="shared" si="122"/>
        <v/>
      </c>
      <c r="P1039" t="str">
        <f t="shared" si="123"/>
        <v/>
      </c>
      <c r="Q1039" s="33" t="str">
        <f t="shared" si="124"/>
        <v/>
      </c>
      <c r="R1039" s="39" t="str">
        <f t="shared" si="125"/>
        <v/>
      </c>
    </row>
    <row r="1040" spans="6:18" x14ac:dyDescent="0.25">
      <c r="F1040" s="35">
        <v>1034</v>
      </c>
      <c r="L1040" s="33" t="str">
        <f t="shared" si="119"/>
        <v/>
      </c>
      <c r="M1040" t="str">
        <f t="shared" si="120"/>
        <v/>
      </c>
      <c r="N1040" s="33" t="str">
        <f t="shared" si="121"/>
        <v/>
      </c>
      <c r="O1040" s="33" t="str">
        <f t="shared" si="122"/>
        <v/>
      </c>
      <c r="P1040" t="str">
        <f t="shared" si="123"/>
        <v/>
      </c>
      <c r="Q1040" s="33" t="str">
        <f t="shared" si="124"/>
        <v/>
      </c>
      <c r="R1040" s="39" t="str">
        <f t="shared" si="125"/>
        <v/>
      </c>
    </row>
    <row r="1041" spans="6:18" x14ac:dyDescent="0.25">
      <c r="F1041" s="35">
        <v>1035</v>
      </c>
      <c r="L1041" s="33" t="str">
        <f t="shared" si="119"/>
        <v/>
      </c>
      <c r="M1041" t="str">
        <f t="shared" si="120"/>
        <v/>
      </c>
      <c r="N1041" s="33" t="str">
        <f t="shared" si="121"/>
        <v/>
      </c>
      <c r="O1041" s="33" t="str">
        <f t="shared" si="122"/>
        <v/>
      </c>
      <c r="P1041" t="str">
        <f t="shared" si="123"/>
        <v/>
      </c>
      <c r="Q1041" s="33" t="str">
        <f t="shared" si="124"/>
        <v/>
      </c>
      <c r="R1041" s="39" t="str">
        <f t="shared" si="125"/>
        <v/>
      </c>
    </row>
    <row r="1042" spans="6:18" x14ac:dyDescent="0.25">
      <c r="F1042" s="35">
        <v>1036</v>
      </c>
      <c r="L1042" s="33" t="str">
        <f t="shared" si="119"/>
        <v/>
      </c>
      <c r="M1042" t="str">
        <f t="shared" si="120"/>
        <v/>
      </c>
      <c r="N1042" s="33" t="str">
        <f t="shared" si="121"/>
        <v/>
      </c>
      <c r="O1042" s="33" t="str">
        <f t="shared" si="122"/>
        <v/>
      </c>
      <c r="P1042" t="str">
        <f t="shared" si="123"/>
        <v/>
      </c>
      <c r="Q1042" s="33" t="str">
        <f t="shared" si="124"/>
        <v/>
      </c>
      <c r="R1042" s="39" t="str">
        <f t="shared" si="125"/>
        <v/>
      </c>
    </row>
    <row r="1043" spans="6:18" x14ac:dyDescent="0.25">
      <c r="F1043" s="35">
        <v>1037</v>
      </c>
      <c r="L1043" s="33" t="str">
        <f t="shared" si="119"/>
        <v/>
      </c>
      <c r="M1043" t="str">
        <f t="shared" si="120"/>
        <v/>
      </c>
      <c r="N1043" s="33" t="str">
        <f t="shared" si="121"/>
        <v/>
      </c>
      <c r="O1043" s="33" t="str">
        <f t="shared" si="122"/>
        <v/>
      </c>
      <c r="P1043" t="str">
        <f t="shared" si="123"/>
        <v/>
      </c>
      <c r="Q1043" s="33" t="str">
        <f t="shared" si="124"/>
        <v/>
      </c>
      <c r="R1043" s="39" t="str">
        <f t="shared" si="125"/>
        <v/>
      </c>
    </row>
    <row r="1044" spans="6:18" x14ac:dyDescent="0.25">
      <c r="F1044" s="35">
        <v>1038</v>
      </c>
      <c r="L1044" s="33" t="str">
        <f t="shared" si="119"/>
        <v/>
      </c>
      <c r="M1044" t="str">
        <f t="shared" si="120"/>
        <v/>
      </c>
      <c r="N1044" s="33" t="str">
        <f t="shared" si="121"/>
        <v/>
      </c>
      <c r="O1044" s="33" t="str">
        <f t="shared" si="122"/>
        <v/>
      </c>
      <c r="P1044" t="str">
        <f t="shared" si="123"/>
        <v/>
      </c>
      <c r="Q1044" s="33" t="str">
        <f t="shared" si="124"/>
        <v/>
      </c>
      <c r="R1044" s="39" t="str">
        <f t="shared" si="125"/>
        <v/>
      </c>
    </row>
    <row r="1045" spans="6:18" x14ac:dyDescent="0.25">
      <c r="F1045" s="35">
        <v>1039</v>
      </c>
      <c r="L1045" s="33" t="str">
        <f t="shared" si="119"/>
        <v/>
      </c>
      <c r="M1045" t="str">
        <f t="shared" si="120"/>
        <v/>
      </c>
      <c r="N1045" s="33" t="str">
        <f t="shared" si="121"/>
        <v/>
      </c>
      <c r="O1045" s="33" t="str">
        <f t="shared" si="122"/>
        <v/>
      </c>
      <c r="P1045" t="str">
        <f t="shared" si="123"/>
        <v/>
      </c>
      <c r="Q1045" s="33" t="str">
        <f t="shared" si="124"/>
        <v/>
      </c>
      <c r="R1045" s="39" t="str">
        <f t="shared" si="125"/>
        <v/>
      </c>
    </row>
    <row r="1046" spans="6:18" x14ac:dyDescent="0.25">
      <c r="F1046" s="35">
        <v>1040</v>
      </c>
      <c r="L1046" s="33" t="str">
        <f t="shared" si="119"/>
        <v/>
      </c>
      <c r="M1046" t="str">
        <f t="shared" si="120"/>
        <v/>
      </c>
      <c r="N1046" s="33" t="str">
        <f t="shared" si="121"/>
        <v/>
      </c>
      <c r="O1046" s="33" t="str">
        <f t="shared" si="122"/>
        <v/>
      </c>
      <c r="P1046" t="str">
        <f t="shared" si="123"/>
        <v/>
      </c>
      <c r="Q1046" s="33" t="str">
        <f t="shared" si="124"/>
        <v/>
      </c>
      <c r="R1046" s="39" t="str">
        <f t="shared" si="125"/>
        <v/>
      </c>
    </row>
    <row r="1047" spans="6:18" x14ac:dyDescent="0.25">
      <c r="F1047" s="35">
        <v>1041</v>
      </c>
      <c r="L1047" s="33" t="str">
        <f t="shared" si="119"/>
        <v/>
      </c>
      <c r="M1047" t="str">
        <f t="shared" si="120"/>
        <v/>
      </c>
      <c r="N1047" s="33" t="str">
        <f t="shared" si="121"/>
        <v/>
      </c>
      <c r="O1047" s="33" t="str">
        <f t="shared" si="122"/>
        <v/>
      </c>
      <c r="P1047" t="str">
        <f t="shared" si="123"/>
        <v/>
      </c>
      <c r="Q1047" s="33" t="str">
        <f t="shared" si="124"/>
        <v/>
      </c>
      <c r="R1047" s="39" t="str">
        <f t="shared" si="125"/>
        <v/>
      </c>
    </row>
    <row r="1048" spans="6:18" x14ac:dyDescent="0.25">
      <c r="F1048" s="35">
        <v>1042</v>
      </c>
      <c r="L1048" s="33" t="str">
        <f t="shared" si="119"/>
        <v/>
      </c>
      <c r="M1048" t="str">
        <f t="shared" si="120"/>
        <v/>
      </c>
      <c r="N1048" s="33" t="str">
        <f t="shared" si="121"/>
        <v/>
      </c>
      <c r="O1048" s="33" t="str">
        <f t="shared" si="122"/>
        <v/>
      </c>
      <c r="P1048" t="str">
        <f t="shared" si="123"/>
        <v/>
      </c>
      <c r="Q1048" s="33" t="str">
        <f t="shared" si="124"/>
        <v/>
      </c>
      <c r="R1048" s="39" t="str">
        <f t="shared" si="125"/>
        <v/>
      </c>
    </row>
    <row r="1049" spans="6:18" x14ac:dyDescent="0.25">
      <c r="F1049" s="35">
        <v>1043</v>
      </c>
      <c r="L1049" s="33" t="str">
        <f t="shared" si="119"/>
        <v/>
      </c>
      <c r="M1049" t="str">
        <f t="shared" si="120"/>
        <v/>
      </c>
      <c r="N1049" s="33" t="str">
        <f t="shared" si="121"/>
        <v/>
      </c>
      <c r="O1049" s="33" t="str">
        <f t="shared" si="122"/>
        <v/>
      </c>
      <c r="P1049" t="str">
        <f t="shared" si="123"/>
        <v/>
      </c>
      <c r="Q1049" s="33" t="str">
        <f t="shared" si="124"/>
        <v/>
      </c>
      <c r="R1049" s="39" t="str">
        <f t="shared" si="125"/>
        <v/>
      </c>
    </row>
    <row r="1050" spans="6:18" x14ac:dyDescent="0.25">
      <c r="F1050" s="35">
        <v>1044</v>
      </c>
      <c r="L1050" s="33" t="str">
        <f t="shared" si="119"/>
        <v/>
      </c>
      <c r="M1050" t="str">
        <f t="shared" si="120"/>
        <v/>
      </c>
      <c r="N1050" s="33" t="str">
        <f t="shared" si="121"/>
        <v/>
      </c>
      <c r="O1050" s="33" t="str">
        <f t="shared" si="122"/>
        <v/>
      </c>
      <c r="P1050" t="str">
        <f t="shared" si="123"/>
        <v/>
      </c>
      <c r="Q1050" s="33" t="str">
        <f t="shared" si="124"/>
        <v/>
      </c>
      <c r="R1050" s="39" t="str">
        <f t="shared" si="125"/>
        <v/>
      </c>
    </row>
    <row r="1051" spans="6:18" x14ac:dyDescent="0.25">
      <c r="F1051" s="35">
        <v>1045</v>
      </c>
      <c r="L1051" s="33" t="str">
        <f t="shared" si="119"/>
        <v/>
      </c>
      <c r="M1051" t="str">
        <f t="shared" si="120"/>
        <v/>
      </c>
      <c r="N1051" s="33" t="str">
        <f t="shared" si="121"/>
        <v/>
      </c>
      <c r="O1051" s="33" t="str">
        <f t="shared" si="122"/>
        <v/>
      </c>
      <c r="P1051" t="str">
        <f t="shared" si="123"/>
        <v/>
      </c>
      <c r="Q1051" s="33" t="str">
        <f t="shared" si="124"/>
        <v/>
      </c>
      <c r="R1051" s="39" t="str">
        <f t="shared" si="125"/>
        <v/>
      </c>
    </row>
    <row r="1052" spans="6:18" x14ac:dyDescent="0.25">
      <c r="F1052" s="35">
        <v>1046</v>
      </c>
      <c r="L1052" s="33" t="str">
        <f t="shared" si="119"/>
        <v/>
      </c>
      <c r="M1052" t="str">
        <f t="shared" si="120"/>
        <v/>
      </c>
      <c r="N1052" s="33" t="str">
        <f t="shared" si="121"/>
        <v/>
      </c>
      <c r="O1052" s="33" t="str">
        <f t="shared" si="122"/>
        <v/>
      </c>
      <c r="P1052" t="str">
        <f t="shared" si="123"/>
        <v/>
      </c>
      <c r="Q1052" s="33" t="str">
        <f t="shared" si="124"/>
        <v/>
      </c>
      <c r="R1052" s="39" t="str">
        <f t="shared" si="125"/>
        <v/>
      </c>
    </row>
    <row r="1053" spans="6:18" x14ac:dyDescent="0.25">
      <c r="F1053" s="35">
        <v>1047</v>
      </c>
      <c r="L1053" s="33" t="str">
        <f t="shared" si="119"/>
        <v/>
      </c>
      <c r="M1053" t="str">
        <f t="shared" si="120"/>
        <v/>
      </c>
      <c r="N1053" s="33" t="str">
        <f t="shared" si="121"/>
        <v/>
      </c>
      <c r="O1053" s="33" t="str">
        <f t="shared" si="122"/>
        <v/>
      </c>
      <c r="P1053" t="str">
        <f t="shared" si="123"/>
        <v/>
      </c>
      <c r="Q1053" s="33" t="str">
        <f t="shared" si="124"/>
        <v/>
      </c>
      <c r="R1053" s="39" t="str">
        <f t="shared" si="125"/>
        <v/>
      </c>
    </row>
    <row r="1054" spans="6:18" x14ac:dyDescent="0.25">
      <c r="F1054" s="35">
        <v>1048</v>
      </c>
      <c r="L1054" s="33" t="str">
        <f t="shared" si="119"/>
        <v/>
      </c>
      <c r="M1054" t="str">
        <f t="shared" si="120"/>
        <v/>
      </c>
      <c r="N1054" s="33" t="str">
        <f t="shared" si="121"/>
        <v/>
      </c>
      <c r="O1054" s="33" t="str">
        <f t="shared" si="122"/>
        <v/>
      </c>
      <c r="P1054" t="str">
        <f t="shared" si="123"/>
        <v/>
      </c>
      <c r="Q1054" s="33" t="str">
        <f t="shared" si="124"/>
        <v/>
      </c>
      <c r="R1054" s="39" t="str">
        <f t="shared" si="125"/>
        <v/>
      </c>
    </row>
    <row r="1055" spans="6:18" x14ac:dyDescent="0.25">
      <c r="F1055" s="35">
        <v>1049</v>
      </c>
      <c r="L1055" s="33" t="str">
        <f t="shared" si="119"/>
        <v/>
      </c>
      <c r="M1055" t="str">
        <f t="shared" si="120"/>
        <v/>
      </c>
      <c r="N1055" s="33" t="str">
        <f t="shared" si="121"/>
        <v/>
      </c>
      <c r="O1055" s="33" t="str">
        <f t="shared" si="122"/>
        <v/>
      </c>
      <c r="P1055" t="str">
        <f t="shared" si="123"/>
        <v/>
      </c>
      <c r="Q1055" s="33" t="str">
        <f t="shared" si="124"/>
        <v/>
      </c>
      <c r="R1055" s="39" t="str">
        <f t="shared" si="125"/>
        <v/>
      </c>
    </row>
    <row r="1056" spans="6:18" x14ac:dyDescent="0.25">
      <c r="F1056" s="35">
        <v>1050</v>
      </c>
      <c r="L1056" s="33" t="str">
        <f t="shared" si="119"/>
        <v/>
      </c>
      <c r="M1056" t="str">
        <f t="shared" si="120"/>
        <v/>
      </c>
      <c r="N1056" s="33" t="str">
        <f t="shared" si="121"/>
        <v/>
      </c>
      <c r="O1056" s="33" t="str">
        <f t="shared" si="122"/>
        <v/>
      </c>
      <c r="P1056" t="str">
        <f t="shared" si="123"/>
        <v/>
      </c>
      <c r="Q1056" s="33" t="str">
        <f t="shared" si="124"/>
        <v/>
      </c>
      <c r="R1056" s="39" t="str">
        <f t="shared" si="125"/>
        <v/>
      </c>
    </row>
    <row r="1057" spans="6:18" x14ac:dyDescent="0.25">
      <c r="F1057" s="35">
        <v>1051</v>
      </c>
      <c r="L1057" s="33" t="str">
        <f t="shared" si="119"/>
        <v/>
      </c>
      <c r="M1057" t="str">
        <f t="shared" si="120"/>
        <v/>
      </c>
      <c r="N1057" s="33" t="str">
        <f t="shared" si="121"/>
        <v/>
      </c>
      <c r="O1057" s="33" t="str">
        <f t="shared" si="122"/>
        <v/>
      </c>
      <c r="P1057" t="str">
        <f t="shared" si="123"/>
        <v/>
      </c>
      <c r="Q1057" s="33" t="str">
        <f t="shared" si="124"/>
        <v/>
      </c>
      <c r="R1057" s="39" t="str">
        <f t="shared" si="125"/>
        <v/>
      </c>
    </row>
    <row r="1058" spans="6:18" x14ac:dyDescent="0.25">
      <c r="F1058" s="35">
        <v>1052</v>
      </c>
      <c r="L1058" s="33" t="str">
        <f t="shared" si="119"/>
        <v/>
      </c>
      <c r="M1058" t="str">
        <f t="shared" si="120"/>
        <v/>
      </c>
      <c r="N1058" s="33" t="str">
        <f t="shared" si="121"/>
        <v/>
      </c>
      <c r="O1058" s="33" t="str">
        <f t="shared" si="122"/>
        <v/>
      </c>
      <c r="P1058" t="str">
        <f t="shared" si="123"/>
        <v/>
      </c>
      <c r="Q1058" s="33" t="str">
        <f t="shared" si="124"/>
        <v/>
      </c>
      <c r="R1058" s="39" t="str">
        <f t="shared" si="125"/>
        <v/>
      </c>
    </row>
    <row r="1059" spans="6:18" x14ac:dyDescent="0.25">
      <c r="F1059" s="35">
        <v>1053</v>
      </c>
      <c r="L1059" s="33" t="str">
        <f t="shared" si="119"/>
        <v/>
      </c>
      <c r="M1059" t="str">
        <f t="shared" si="120"/>
        <v/>
      </c>
      <c r="N1059" s="33" t="str">
        <f t="shared" si="121"/>
        <v/>
      </c>
      <c r="O1059" s="33" t="str">
        <f t="shared" si="122"/>
        <v/>
      </c>
      <c r="P1059" t="str">
        <f t="shared" si="123"/>
        <v/>
      </c>
      <c r="Q1059" s="33" t="str">
        <f t="shared" si="124"/>
        <v/>
      </c>
      <c r="R1059" s="39" t="str">
        <f t="shared" si="125"/>
        <v/>
      </c>
    </row>
    <row r="1060" spans="6:18" x14ac:dyDescent="0.25">
      <c r="F1060" s="35">
        <v>1054</v>
      </c>
      <c r="L1060" s="33" t="str">
        <f t="shared" si="119"/>
        <v/>
      </c>
      <c r="M1060" t="str">
        <f t="shared" si="120"/>
        <v/>
      </c>
      <c r="N1060" s="33" t="str">
        <f t="shared" si="121"/>
        <v/>
      </c>
      <c r="O1060" s="33" t="str">
        <f t="shared" si="122"/>
        <v/>
      </c>
      <c r="P1060" t="str">
        <f t="shared" si="123"/>
        <v/>
      </c>
      <c r="Q1060" s="33" t="str">
        <f t="shared" si="124"/>
        <v/>
      </c>
      <c r="R1060" s="39" t="str">
        <f t="shared" si="125"/>
        <v/>
      </c>
    </row>
    <row r="1061" spans="6:18" x14ac:dyDescent="0.25">
      <c r="F1061" s="35">
        <v>1055</v>
      </c>
      <c r="L1061" s="33" t="str">
        <f t="shared" si="119"/>
        <v/>
      </c>
      <c r="M1061" t="str">
        <f t="shared" si="120"/>
        <v/>
      </c>
      <c r="N1061" s="33" t="str">
        <f t="shared" si="121"/>
        <v/>
      </c>
      <c r="O1061" s="33" t="str">
        <f t="shared" si="122"/>
        <v/>
      </c>
      <c r="P1061" t="str">
        <f t="shared" si="123"/>
        <v/>
      </c>
      <c r="Q1061" s="33" t="str">
        <f t="shared" si="124"/>
        <v/>
      </c>
      <c r="R1061" s="39" t="str">
        <f t="shared" si="125"/>
        <v/>
      </c>
    </row>
    <row r="1062" spans="6:18" x14ac:dyDescent="0.25">
      <c r="F1062" s="35">
        <v>1056</v>
      </c>
      <c r="L1062" s="33" t="str">
        <f t="shared" si="119"/>
        <v/>
      </c>
      <c r="M1062" t="str">
        <f t="shared" si="120"/>
        <v/>
      </c>
      <c r="N1062" s="33" t="str">
        <f t="shared" si="121"/>
        <v/>
      </c>
      <c r="O1062" s="33" t="str">
        <f t="shared" si="122"/>
        <v/>
      </c>
      <c r="P1062" t="str">
        <f t="shared" si="123"/>
        <v/>
      </c>
      <c r="Q1062" s="33" t="str">
        <f t="shared" si="124"/>
        <v/>
      </c>
      <c r="R1062" s="39" t="str">
        <f t="shared" si="125"/>
        <v/>
      </c>
    </row>
    <row r="1063" spans="6:18" x14ac:dyDescent="0.25">
      <c r="F1063" s="35">
        <v>1057</v>
      </c>
      <c r="L1063" s="33" t="str">
        <f t="shared" si="119"/>
        <v/>
      </c>
      <c r="M1063" t="str">
        <f t="shared" si="120"/>
        <v/>
      </c>
      <c r="N1063" s="33" t="str">
        <f t="shared" si="121"/>
        <v/>
      </c>
      <c r="O1063" s="33" t="str">
        <f t="shared" si="122"/>
        <v/>
      </c>
      <c r="P1063" t="str">
        <f t="shared" si="123"/>
        <v/>
      </c>
      <c r="Q1063" s="33" t="str">
        <f t="shared" si="124"/>
        <v/>
      </c>
      <c r="R1063" s="39" t="str">
        <f t="shared" si="125"/>
        <v/>
      </c>
    </row>
    <row r="1064" spans="6:18" x14ac:dyDescent="0.25">
      <c r="F1064" s="35">
        <v>1058</v>
      </c>
      <c r="L1064" s="33" t="str">
        <f t="shared" si="119"/>
        <v/>
      </c>
      <c r="M1064" t="str">
        <f t="shared" si="120"/>
        <v/>
      </c>
      <c r="N1064" s="33" t="str">
        <f t="shared" si="121"/>
        <v/>
      </c>
      <c r="O1064" s="33" t="str">
        <f t="shared" si="122"/>
        <v/>
      </c>
      <c r="P1064" t="str">
        <f t="shared" si="123"/>
        <v/>
      </c>
      <c r="Q1064" s="33" t="str">
        <f t="shared" si="124"/>
        <v/>
      </c>
      <c r="R1064" s="39" t="str">
        <f t="shared" si="125"/>
        <v/>
      </c>
    </row>
    <row r="1065" spans="6:18" x14ac:dyDescent="0.25">
      <c r="F1065" s="35">
        <v>1059</v>
      </c>
      <c r="L1065" s="33" t="str">
        <f t="shared" si="119"/>
        <v/>
      </c>
      <c r="M1065" t="str">
        <f t="shared" si="120"/>
        <v/>
      </c>
      <c r="N1065" s="33" t="str">
        <f t="shared" si="121"/>
        <v/>
      </c>
      <c r="O1065" s="33" t="str">
        <f t="shared" si="122"/>
        <v/>
      </c>
      <c r="P1065" t="str">
        <f t="shared" si="123"/>
        <v/>
      </c>
      <c r="Q1065" s="33" t="str">
        <f t="shared" si="124"/>
        <v/>
      </c>
      <c r="R1065" s="39" t="str">
        <f t="shared" si="125"/>
        <v/>
      </c>
    </row>
    <row r="1066" spans="6:18" x14ac:dyDescent="0.25">
      <c r="F1066" s="35">
        <v>1060</v>
      </c>
      <c r="L1066" s="33" t="str">
        <f t="shared" si="119"/>
        <v/>
      </c>
      <c r="M1066" t="str">
        <f t="shared" si="120"/>
        <v/>
      </c>
      <c r="N1066" s="33" t="str">
        <f t="shared" si="121"/>
        <v/>
      </c>
      <c r="O1066" s="33" t="str">
        <f t="shared" si="122"/>
        <v/>
      </c>
      <c r="P1066" t="str">
        <f t="shared" si="123"/>
        <v/>
      </c>
      <c r="Q1066" s="33" t="str">
        <f t="shared" si="124"/>
        <v/>
      </c>
      <c r="R1066" s="39" t="str">
        <f t="shared" si="125"/>
        <v/>
      </c>
    </row>
    <row r="1067" spans="6:18" x14ac:dyDescent="0.25">
      <c r="F1067" s="35">
        <v>1061</v>
      </c>
      <c r="L1067" s="33" t="str">
        <f t="shared" si="119"/>
        <v/>
      </c>
      <c r="M1067" t="str">
        <f t="shared" si="120"/>
        <v/>
      </c>
      <c r="N1067" s="33" t="str">
        <f t="shared" si="121"/>
        <v/>
      </c>
      <c r="O1067" s="33" t="str">
        <f t="shared" si="122"/>
        <v/>
      </c>
      <c r="P1067" t="str">
        <f t="shared" si="123"/>
        <v/>
      </c>
      <c r="Q1067" s="33" t="str">
        <f t="shared" si="124"/>
        <v/>
      </c>
      <c r="R1067" s="39" t="str">
        <f t="shared" si="125"/>
        <v/>
      </c>
    </row>
    <row r="1068" spans="6:18" x14ac:dyDescent="0.25">
      <c r="F1068" s="35">
        <v>1062</v>
      </c>
      <c r="L1068" s="33" t="str">
        <f t="shared" si="119"/>
        <v/>
      </c>
      <c r="M1068" t="str">
        <f t="shared" si="120"/>
        <v/>
      </c>
      <c r="N1068" s="33" t="str">
        <f t="shared" si="121"/>
        <v/>
      </c>
      <c r="O1068" s="33" t="str">
        <f t="shared" si="122"/>
        <v/>
      </c>
      <c r="P1068" t="str">
        <f t="shared" si="123"/>
        <v/>
      </c>
      <c r="Q1068" s="33" t="str">
        <f t="shared" si="124"/>
        <v/>
      </c>
      <c r="R1068" s="39" t="str">
        <f t="shared" si="125"/>
        <v/>
      </c>
    </row>
    <row r="1069" spans="6:18" x14ac:dyDescent="0.25">
      <c r="F1069" s="35">
        <v>1063</v>
      </c>
      <c r="L1069" s="33" t="str">
        <f t="shared" si="119"/>
        <v/>
      </c>
      <c r="M1069" t="str">
        <f t="shared" si="120"/>
        <v/>
      </c>
      <c r="N1069" s="33" t="str">
        <f t="shared" si="121"/>
        <v/>
      </c>
      <c r="O1069" s="33" t="str">
        <f t="shared" si="122"/>
        <v/>
      </c>
      <c r="P1069" t="str">
        <f t="shared" si="123"/>
        <v/>
      </c>
      <c r="Q1069" s="33" t="str">
        <f t="shared" si="124"/>
        <v/>
      </c>
      <c r="R1069" s="39" t="str">
        <f t="shared" si="125"/>
        <v/>
      </c>
    </row>
    <row r="1070" spans="6:18" x14ac:dyDescent="0.25">
      <c r="F1070" s="35">
        <v>1064</v>
      </c>
      <c r="L1070" s="33" t="str">
        <f t="shared" si="119"/>
        <v/>
      </c>
      <c r="M1070" t="str">
        <f t="shared" si="120"/>
        <v/>
      </c>
      <c r="N1070" s="33" t="str">
        <f t="shared" si="121"/>
        <v/>
      </c>
      <c r="O1070" s="33" t="str">
        <f t="shared" si="122"/>
        <v/>
      </c>
      <c r="P1070" t="str">
        <f t="shared" si="123"/>
        <v/>
      </c>
      <c r="Q1070" s="33" t="str">
        <f t="shared" si="124"/>
        <v/>
      </c>
      <c r="R1070" s="39" t="str">
        <f t="shared" si="125"/>
        <v/>
      </c>
    </row>
    <row r="1071" spans="6:18" x14ac:dyDescent="0.25">
      <c r="F1071" s="35">
        <v>1065</v>
      </c>
      <c r="L1071" s="33" t="str">
        <f t="shared" si="119"/>
        <v/>
      </c>
      <c r="M1071" t="str">
        <f t="shared" si="120"/>
        <v/>
      </c>
      <c r="N1071" s="33" t="str">
        <f t="shared" si="121"/>
        <v/>
      </c>
      <c r="O1071" s="33" t="str">
        <f t="shared" si="122"/>
        <v/>
      </c>
      <c r="P1071" t="str">
        <f t="shared" si="123"/>
        <v/>
      </c>
      <c r="Q1071" s="33" t="str">
        <f t="shared" si="124"/>
        <v/>
      </c>
      <c r="R1071" s="39" t="str">
        <f t="shared" si="125"/>
        <v/>
      </c>
    </row>
    <row r="1072" spans="6:18" x14ac:dyDescent="0.25">
      <c r="F1072" s="35">
        <v>1066</v>
      </c>
      <c r="L1072" s="33" t="str">
        <f t="shared" si="119"/>
        <v/>
      </c>
      <c r="M1072" t="str">
        <f t="shared" si="120"/>
        <v/>
      </c>
      <c r="N1072" s="33" t="str">
        <f t="shared" si="121"/>
        <v/>
      </c>
      <c r="O1072" s="33" t="str">
        <f t="shared" si="122"/>
        <v/>
      </c>
      <c r="P1072" t="str">
        <f t="shared" si="123"/>
        <v/>
      </c>
      <c r="Q1072" s="33" t="str">
        <f t="shared" si="124"/>
        <v/>
      </c>
      <c r="R1072" s="39" t="str">
        <f t="shared" si="125"/>
        <v/>
      </c>
    </row>
    <row r="1073" spans="6:18" x14ac:dyDescent="0.25">
      <c r="F1073" s="35">
        <v>1067</v>
      </c>
      <c r="L1073" s="33" t="str">
        <f t="shared" si="119"/>
        <v/>
      </c>
      <c r="M1073" t="str">
        <f t="shared" si="120"/>
        <v/>
      </c>
      <c r="N1073" s="33" t="str">
        <f t="shared" si="121"/>
        <v/>
      </c>
      <c r="O1073" s="33" t="str">
        <f t="shared" si="122"/>
        <v/>
      </c>
      <c r="P1073" t="str">
        <f t="shared" si="123"/>
        <v/>
      </c>
      <c r="Q1073" s="33" t="str">
        <f t="shared" si="124"/>
        <v/>
      </c>
      <c r="R1073" s="39" t="str">
        <f t="shared" si="125"/>
        <v/>
      </c>
    </row>
    <row r="1074" spans="6:18" x14ac:dyDescent="0.25">
      <c r="F1074" s="35">
        <v>1068</v>
      </c>
      <c r="L1074" s="33" t="str">
        <f t="shared" si="119"/>
        <v/>
      </c>
      <c r="M1074" t="str">
        <f t="shared" si="120"/>
        <v/>
      </c>
      <c r="N1074" s="33" t="str">
        <f t="shared" si="121"/>
        <v/>
      </c>
      <c r="O1074" s="33" t="str">
        <f t="shared" si="122"/>
        <v/>
      </c>
      <c r="P1074" t="str">
        <f t="shared" si="123"/>
        <v/>
      </c>
      <c r="Q1074" s="33" t="str">
        <f t="shared" si="124"/>
        <v/>
      </c>
      <c r="R1074" s="39" t="str">
        <f t="shared" si="125"/>
        <v/>
      </c>
    </row>
    <row r="1075" spans="6:18" x14ac:dyDescent="0.25">
      <c r="F1075" s="35">
        <v>1069</v>
      </c>
      <c r="L1075" s="33" t="str">
        <f t="shared" si="119"/>
        <v/>
      </c>
      <c r="M1075" t="str">
        <f t="shared" si="120"/>
        <v/>
      </c>
      <c r="N1075" s="33" t="str">
        <f t="shared" si="121"/>
        <v/>
      </c>
      <c r="O1075" s="33" t="str">
        <f t="shared" si="122"/>
        <v/>
      </c>
      <c r="P1075" t="str">
        <f t="shared" si="123"/>
        <v/>
      </c>
      <c r="Q1075" s="33" t="str">
        <f t="shared" si="124"/>
        <v/>
      </c>
      <c r="R1075" s="39" t="str">
        <f t="shared" si="125"/>
        <v/>
      </c>
    </row>
    <row r="1076" spans="6:18" x14ac:dyDescent="0.25">
      <c r="F1076" s="35">
        <v>1070</v>
      </c>
      <c r="L1076" s="33" t="str">
        <f t="shared" si="119"/>
        <v/>
      </c>
      <c r="M1076" t="str">
        <f t="shared" si="120"/>
        <v/>
      </c>
      <c r="N1076" s="33" t="str">
        <f t="shared" si="121"/>
        <v/>
      </c>
      <c r="O1076" s="33" t="str">
        <f t="shared" si="122"/>
        <v/>
      </c>
      <c r="P1076" t="str">
        <f t="shared" si="123"/>
        <v/>
      </c>
      <c r="Q1076" s="33" t="str">
        <f t="shared" si="124"/>
        <v/>
      </c>
      <c r="R1076" s="39" t="str">
        <f t="shared" si="125"/>
        <v/>
      </c>
    </row>
    <row r="1077" spans="6:18" x14ac:dyDescent="0.25">
      <c r="F1077" s="35">
        <v>1071</v>
      </c>
      <c r="L1077" s="33" t="str">
        <f t="shared" si="119"/>
        <v/>
      </c>
      <c r="M1077" t="str">
        <f t="shared" si="120"/>
        <v/>
      </c>
      <c r="N1077" s="33" t="str">
        <f t="shared" si="121"/>
        <v/>
      </c>
      <c r="O1077" s="33" t="str">
        <f t="shared" si="122"/>
        <v/>
      </c>
      <c r="P1077" t="str">
        <f t="shared" si="123"/>
        <v/>
      </c>
      <c r="Q1077" s="33" t="str">
        <f t="shared" si="124"/>
        <v/>
      </c>
      <c r="R1077" s="39" t="str">
        <f t="shared" si="125"/>
        <v/>
      </c>
    </row>
    <row r="1078" spans="6:18" x14ac:dyDescent="0.25">
      <c r="F1078" s="35">
        <v>1072</v>
      </c>
      <c r="L1078" s="33" t="str">
        <f t="shared" si="119"/>
        <v/>
      </c>
      <c r="M1078" t="str">
        <f t="shared" si="120"/>
        <v/>
      </c>
      <c r="N1078" s="33" t="str">
        <f t="shared" si="121"/>
        <v/>
      </c>
      <c r="O1078" s="33" t="str">
        <f t="shared" si="122"/>
        <v/>
      </c>
      <c r="P1078" t="str">
        <f t="shared" si="123"/>
        <v/>
      </c>
      <c r="Q1078" s="33" t="str">
        <f t="shared" si="124"/>
        <v/>
      </c>
      <c r="R1078" s="39" t="str">
        <f t="shared" si="125"/>
        <v/>
      </c>
    </row>
    <row r="1079" spans="6:18" x14ac:dyDescent="0.25">
      <c r="F1079" s="35">
        <v>1073</v>
      </c>
      <c r="L1079" s="33" t="str">
        <f t="shared" si="119"/>
        <v/>
      </c>
      <c r="M1079" t="str">
        <f t="shared" si="120"/>
        <v/>
      </c>
      <c r="N1079" s="33" t="str">
        <f t="shared" si="121"/>
        <v/>
      </c>
      <c r="O1079" s="33" t="str">
        <f t="shared" si="122"/>
        <v/>
      </c>
      <c r="P1079" t="str">
        <f t="shared" si="123"/>
        <v/>
      </c>
      <c r="Q1079" s="33" t="str">
        <f t="shared" si="124"/>
        <v/>
      </c>
      <c r="R1079" s="39" t="str">
        <f t="shared" si="125"/>
        <v/>
      </c>
    </row>
    <row r="1080" spans="6:18" x14ac:dyDescent="0.25">
      <c r="F1080" s="35">
        <v>1074</v>
      </c>
      <c r="L1080" s="33" t="str">
        <f t="shared" si="119"/>
        <v/>
      </c>
      <c r="M1080" t="str">
        <f t="shared" si="120"/>
        <v/>
      </c>
      <c r="N1080" s="33" t="str">
        <f t="shared" si="121"/>
        <v/>
      </c>
      <c r="O1080" s="33" t="str">
        <f t="shared" si="122"/>
        <v/>
      </c>
      <c r="P1080" t="str">
        <f t="shared" si="123"/>
        <v/>
      </c>
      <c r="Q1080" s="33" t="str">
        <f t="shared" si="124"/>
        <v/>
      </c>
      <c r="R1080" s="39" t="str">
        <f t="shared" si="125"/>
        <v/>
      </c>
    </row>
    <row r="1081" spans="6:18" x14ac:dyDescent="0.25">
      <c r="F1081" s="35">
        <v>1075</v>
      </c>
      <c r="L1081" s="33" t="str">
        <f t="shared" si="119"/>
        <v/>
      </c>
      <c r="M1081" t="str">
        <f t="shared" si="120"/>
        <v/>
      </c>
      <c r="N1081" s="33" t="str">
        <f t="shared" si="121"/>
        <v/>
      </c>
      <c r="O1081" s="33" t="str">
        <f t="shared" si="122"/>
        <v/>
      </c>
      <c r="P1081" t="str">
        <f t="shared" si="123"/>
        <v/>
      </c>
      <c r="Q1081" s="33" t="str">
        <f t="shared" si="124"/>
        <v/>
      </c>
      <c r="R1081" s="39" t="str">
        <f t="shared" si="125"/>
        <v/>
      </c>
    </row>
    <row r="1082" spans="6:18" x14ac:dyDescent="0.25">
      <c r="F1082" s="35">
        <v>1076</v>
      </c>
      <c r="L1082" s="33" t="str">
        <f t="shared" si="119"/>
        <v/>
      </c>
      <c r="M1082" t="str">
        <f t="shared" si="120"/>
        <v/>
      </c>
      <c r="N1082" s="33" t="str">
        <f t="shared" si="121"/>
        <v/>
      </c>
      <c r="O1082" s="33" t="str">
        <f t="shared" si="122"/>
        <v/>
      </c>
      <c r="P1082" t="str">
        <f t="shared" si="123"/>
        <v/>
      </c>
      <c r="Q1082" s="33" t="str">
        <f t="shared" si="124"/>
        <v/>
      </c>
      <c r="R1082" s="39" t="str">
        <f t="shared" si="125"/>
        <v/>
      </c>
    </row>
    <row r="1083" spans="6:18" x14ac:dyDescent="0.25">
      <c r="F1083" s="35">
        <v>1077</v>
      </c>
      <c r="L1083" s="33" t="str">
        <f t="shared" si="119"/>
        <v/>
      </c>
      <c r="M1083" t="str">
        <f t="shared" si="120"/>
        <v/>
      </c>
      <c r="N1083" s="33" t="str">
        <f t="shared" si="121"/>
        <v/>
      </c>
      <c r="O1083" s="33" t="str">
        <f t="shared" si="122"/>
        <v/>
      </c>
      <c r="P1083" t="str">
        <f t="shared" si="123"/>
        <v/>
      </c>
      <c r="Q1083" s="33" t="str">
        <f t="shared" si="124"/>
        <v/>
      </c>
      <c r="R1083" s="39" t="str">
        <f t="shared" si="125"/>
        <v/>
      </c>
    </row>
    <row r="1084" spans="6:18" x14ac:dyDescent="0.25">
      <c r="F1084" s="35">
        <v>1078</v>
      </c>
      <c r="L1084" s="33" t="str">
        <f t="shared" si="119"/>
        <v/>
      </c>
      <c r="M1084" t="str">
        <f t="shared" si="120"/>
        <v/>
      </c>
      <c r="N1084" s="33" t="str">
        <f t="shared" si="121"/>
        <v/>
      </c>
      <c r="O1084" s="33" t="str">
        <f t="shared" si="122"/>
        <v/>
      </c>
      <c r="P1084" t="str">
        <f t="shared" si="123"/>
        <v/>
      </c>
      <c r="Q1084" s="33" t="str">
        <f t="shared" si="124"/>
        <v/>
      </c>
      <c r="R1084" s="39" t="str">
        <f t="shared" si="125"/>
        <v/>
      </c>
    </row>
    <row r="1085" spans="6:18" x14ac:dyDescent="0.25">
      <c r="F1085" s="35">
        <v>1079</v>
      </c>
      <c r="L1085" s="33" t="str">
        <f t="shared" si="119"/>
        <v/>
      </c>
      <c r="M1085" t="str">
        <f t="shared" si="120"/>
        <v/>
      </c>
      <c r="N1085" s="33" t="str">
        <f t="shared" si="121"/>
        <v/>
      </c>
      <c r="O1085" s="33" t="str">
        <f t="shared" si="122"/>
        <v/>
      </c>
      <c r="P1085" t="str">
        <f t="shared" si="123"/>
        <v/>
      </c>
      <c r="Q1085" s="33" t="str">
        <f t="shared" si="124"/>
        <v/>
      </c>
      <c r="R1085" s="39" t="str">
        <f t="shared" si="125"/>
        <v/>
      </c>
    </row>
    <row r="1086" spans="6:18" x14ac:dyDescent="0.25">
      <c r="F1086" s="35">
        <v>1080</v>
      </c>
      <c r="L1086" s="33" t="str">
        <f t="shared" si="119"/>
        <v/>
      </c>
      <c r="M1086" t="str">
        <f t="shared" si="120"/>
        <v/>
      </c>
      <c r="N1086" s="33" t="str">
        <f t="shared" si="121"/>
        <v/>
      </c>
      <c r="O1086" s="33" t="str">
        <f t="shared" si="122"/>
        <v/>
      </c>
      <c r="P1086" t="str">
        <f t="shared" si="123"/>
        <v/>
      </c>
      <c r="Q1086" s="33" t="str">
        <f t="shared" si="124"/>
        <v/>
      </c>
      <c r="R1086" s="39" t="str">
        <f t="shared" si="125"/>
        <v/>
      </c>
    </row>
    <row r="1087" spans="6:18" x14ac:dyDescent="0.25">
      <c r="F1087" s="35">
        <v>1081</v>
      </c>
      <c r="L1087" s="33" t="str">
        <f t="shared" si="119"/>
        <v/>
      </c>
      <c r="M1087" t="str">
        <f t="shared" si="120"/>
        <v/>
      </c>
      <c r="N1087" s="33" t="str">
        <f t="shared" si="121"/>
        <v/>
      </c>
      <c r="O1087" s="33" t="str">
        <f t="shared" si="122"/>
        <v/>
      </c>
      <c r="P1087" t="str">
        <f t="shared" si="123"/>
        <v/>
      </c>
      <c r="Q1087" s="33" t="str">
        <f t="shared" si="124"/>
        <v/>
      </c>
      <c r="R1087" s="39" t="str">
        <f t="shared" si="125"/>
        <v/>
      </c>
    </row>
    <row r="1088" spans="6:18" x14ac:dyDescent="0.25">
      <c r="F1088" s="35">
        <v>1082</v>
      </c>
      <c r="L1088" s="33" t="str">
        <f t="shared" si="119"/>
        <v/>
      </c>
      <c r="M1088" t="str">
        <f t="shared" si="120"/>
        <v/>
      </c>
      <c r="N1088" s="33" t="str">
        <f t="shared" si="121"/>
        <v/>
      </c>
      <c r="O1088" s="33" t="str">
        <f t="shared" si="122"/>
        <v/>
      </c>
      <c r="P1088" t="str">
        <f t="shared" si="123"/>
        <v/>
      </c>
      <c r="Q1088" s="33" t="str">
        <f t="shared" si="124"/>
        <v/>
      </c>
      <c r="R1088" s="39" t="str">
        <f t="shared" si="125"/>
        <v/>
      </c>
    </row>
    <row r="1089" spans="6:18" x14ac:dyDescent="0.25">
      <c r="F1089" s="35">
        <v>1083</v>
      </c>
      <c r="L1089" s="33" t="str">
        <f t="shared" si="119"/>
        <v/>
      </c>
      <c r="M1089" t="str">
        <f t="shared" si="120"/>
        <v/>
      </c>
      <c r="N1089" s="33" t="str">
        <f t="shared" si="121"/>
        <v/>
      </c>
      <c r="O1089" s="33" t="str">
        <f t="shared" si="122"/>
        <v/>
      </c>
      <c r="P1089" t="str">
        <f t="shared" si="123"/>
        <v/>
      </c>
      <c r="Q1089" s="33" t="str">
        <f t="shared" si="124"/>
        <v/>
      </c>
      <c r="R1089" s="39" t="str">
        <f t="shared" si="125"/>
        <v/>
      </c>
    </row>
    <row r="1090" spans="6:18" x14ac:dyDescent="0.25">
      <c r="F1090" s="35">
        <v>1084</v>
      </c>
      <c r="L1090" s="33" t="str">
        <f t="shared" si="119"/>
        <v/>
      </c>
      <c r="M1090" t="str">
        <f t="shared" si="120"/>
        <v/>
      </c>
      <c r="N1090" s="33" t="str">
        <f t="shared" si="121"/>
        <v/>
      </c>
      <c r="O1090" s="33" t="str">
        <f t="shared" si="122"/>
        <v/>
      </c>
      <c r="P1090" t="str">
        <f t="shared" si="123"/>
        <v/>
      </c>
      <c r="Q1090" s="33" t="str">
        <f t="shared" si="124"/>
        <v/>
      </c>
      <c r="R1090" s="39" t="str">
        <f t="shared" si="125"/>
        <v/>
      </c>
    </row>
    <row r="1091" spans="6:18" x14ac:dyDescent="0.25">
      <c r="F1091" s="35">
        <v>1085</v>
      </c>
      <c r="L1091" s="33" t="str">
        <f t="shared" si="119"/>
        <v/>
      </c>
      <c r="M1091" t="str">
        <f t="shared" si="120"/>
        <v/>
      </c>
      <c r="N1091" s="33" t="str">
        <f t="shared" si="121"/>
        <v/>
      </c>
      <c r="O1091" s="33" t="str">
        <f t="shared" si="122"/>
        <v/>
      </c>
      <c r="P1091" t="str">
        <f t="shared" si="123"/>
        <v/>
      </c>
      <c r="Q1091" s="33" t="str">
        <f t="shared" si="124"/>
        <v/>
      </c>
      <c r="R1091" s="39" t="str">
        <f t="shared" si="125"/>
        <v/>
      </c>
    </row>
    <row r="1092" spans="6:18" x14ac:dyDescent="0.25">
      <c r="F1092" s="35">
        <v>1086</v>
      </c>
      <c r="L1092" s="33" t="str">
        <f t="shared" si="119"/>
        <v/>
      </c>
      <c r="M1092" t="str">
        <f t="shared" si="120"/>
        <v/>
      </c>
      <c r="N1092" s="33" t="str">
        <f t="shared" si="121"/>
        <v/>
      </c>
      <c r="O1092" s="33" t="str">
        <f t="shared" si="122"/>
        <v/>
      </c>
      <c r="P1092" t="str">
        <f t="shared" si="123"/>
        <v/>
      </c>
      <c r="Q1092" s="33" t="str">
        <f t="shared" si="124"/>
        <v/>
      </c>
      <c r="R1092" s="39" t="str">
        <f t="shared" si="125"/>
        <v/>
      </c>
    </row>
    <row r="1093" spans="6:18" x14ac:dyDescent="0.25">
      <c r="F1093" s="35">
        <v>1087</v>
      </c>
      <c r="L1093" s="33" t="str">
        <f t="shared" si="119"/>
        <v/>
      </c>
      <c r="M1093" t="str">
        <f t="shared" si="120"/>
        <v/>
      </c>
      <c r="N1093" s="33" t="str">
        <f t="shared" si="121"/>
        <v/>
      </c>
      <c r="O1093" s="33" t="str">
        <f t="shared" si="122"/>
        <v/>
      </c>
      <c r="P1093" t="str">
        <f t="shared" si="123"/>
        <v/>
      </c>
      <c r="Q1093" s="33" t="str">
        <f t="shared" si="124"/>
        <v/>
      </c>
      <c r="R1093" s="39" t="str">
        <f t="shared" si="125"/>
        <v/>
      </c>
    </row>
    <row r="1094" spans="6:18" x14ac:dyDescent="0.25">
      <c r="F1094" s="35">
        <v>1088</v>
      </c>
      <c r="L1094" s="33" t="str">
        <f t="shared" si="119"/>
        <v/>
      </c>
      <c r="M1094" t="str">
        <f t="shared" si="120"/>
        <v/>
      </c>
      <c r="N1094" s="33" t="str">
        <f t="shared" si="121"/>
        <v/>
      </c>
      <c r="O1094" s="33" t="str">
        <f t="shared" si="122"/>
        <v/>
      </c>
      <c r="P1094" t="str">
        <f t="shared" si="123"/>
        <v/>
      </c>
      <c r="Q1094" s="33" t="str">
        <f t="shared" si="124"/>
        <v/>
      </c>
      <c r="R1094" s="39" t="str">
        <f t="shared" si="125"/>
        <v/>
      </c>
    </row>
    <row r="1095" spans="6:18" x14ac:dyDescent="0.25">
      <c r="F1095" s="35">
        <v>1089</v>
      </c>
      <c r="L1095" s="33" t="str">
        <f t="shared" si="119"/>
        <v/>
      </c>
      <c r="M1095" t="str">
        <f t="shared" si="120"/>
        <v/>
      </c>
      <c r="N1095" s="33" t="str">
        <f t="shared" si="121"/>
        <v/>
      </c>
      <c r="O1095" s="33" t="str">
        <f t="shared" si="122"/>
        <v/>
      </c>
      <c r="P1095" t="str">
        <f t="shared" si="123"/>
        <v/>
      </c>
      <c r="Q1095" s="33" t="str">
        <f t="shared" si="124"/>
        <v/>
      </c>
      <c r="R1095" s="39" t="str">
        <f t="shared" si="125"/>
        <v/>
      </c>
    </row>
    <row r="1096" spans="6:18" x14ac:dyDescent="0.25">
      <c r="F1096" s="35">
        <v>1090</v>
      </c>
      <c r="L1096" s="33" t="str">
        <f t="shared" ref="L1096:L1159" si="126">IF(G1096="","",$C$4*$C$6*$C$7/360)</f>
        <v/>
      </c>
      <c r="M1096" t="str">
        <f t="shared" ref="M1096:M1159" si="127">IF(G1096="","",IF(H1096=$G$2,100,0))</f>
        <v/>
      </c>
      <c r="N1096" s="33" t="str">
        <f t="shared" ref="N1096:N1159" si="128">IF(G1096="","",L1096+M1096)</f>
        <v/>
      </c>
      <c r="O1096" s="33" t="str">
        <f t="shared" ref="O1096:O1159" si="129">IF(G1096="","",1/(1+$C$5*K1096/360)^(J1096/K1096))</f>
        <v/>
      </c>
      <c r="P1096" t="str">
        <f t="shared" ref="P1096:P1159" si="130">IF(G1096="","",H1096-$C$12)</f>
        <v/>
      </c>
      <c r="Q1096" s="33" t="str">
        <f t="shared" ref="Q1096:Q1159" si="131">IF(G1096="","",(P1096/K1096))</f>
        <v/>
      </c>
      <c r="R1096" s="39" t="str">
        <f t="shared" ref="R1096:R1159" si="132">IF(G1096="","",N1096*O1096)</f>
        <v/>
      </c>
    </row>
    <row r="1097" spans="6:18" x14ac:dyDescent="0.25">
      <c r="F1097" s="35">
        <v>1091</v>
      </c>
      <c r="L1097" s="33" t="str">
        <f t="shared" si="126"/>
        <v/>
      </c>
      <c r="M1097" t="str">
        <f t="shared" si="127"/>
        <v/>
      </c>
      <c r="N1097" s="33" t="str">
        <f t="shared" si="128"/>
        <v/>
      </c>
      <c r="O1097" s="33" t="str">
        <f t="shared" si="129"/>
        <v/>
      </c>
      <c r="P1097" t="str">
        <f t="shared" si="130"/>
        <v/>
      </c>
      <c r="Q1097" s="33" t="str">
        <f t="shared" si="131"/>
        <v/>
      </c>
      <c r="R1097" s="39" t="str">
        <f t="shared" si="132"/>
        <v/>
      </c>
    </row>
    <row r="1098" spans="6:18" x14ac:dyDescent="0.25">
      <c r="F1098" s="35">
        <v>1092</v>
      </c>
      <c r="L1098" s="33" t="str">
        <f t="shared" si="126"/>
        <v/>
      </c>
      <c r="M1098" t="str">
        <f t="shared" si="127"/>
        <v/>
      </c>
      <c r="N1098" s="33" t="str">
        <f t="shared" si="128"/>
        <v/>
      </c>
      <c r="O1098" s="33" t="str">
        <f t="shared" si="129"/>
        <v/>
      </c>
      <c r="P1098" t="str">
        <f t="shared" si="130"/>
        <v/>
      </c>
      <c r="Q1098" s="33" t="str">
        <f t="shared" si="131"/>
        <v/>
      </c>
      <c r="R1098" s="39" t="str">
        <f t="shared" si="132"/>
        <v/>
      </c>
    </row>
    <row r="1099" spans="6:18" x14ac:dyDescent="0.25">
      <c r="F1099" s="35">
        <v>1093</v>
      </c>
      <c r="L1099" s="33" t="str">
        <f t="shared" si="126"/>
        <v/>
      </c>
      <c r="M1099" t="str">
        <f t="shared" si="127"/>
        <v/>
      </c>
      <c r="N1099" s="33" t="str">
        <f t="shared" si="128"/>
        <v/>
      </c>
      <c r="O1099" s="33" t="str">
        <f t="shared" si="129"/>
        <v/>
      </c>
      <c r="P1099" t="str">
        <f t="shared" si="130"/>
        <v/>
      </c>
      <c r="Q1099" s="33" t="str">
        <f t="shared" si="131"/>
        <v/>
      </c>
      <c r="R1099" s="39" t="str">
        <f t="shared" si="132"/>
        <v/>
      </c>
    </row>
    <row r="1100" spans="6:18" x14ac:dyDescent="0.25">
      <c r="F1100" s="35">
        <v>1094</v>
      </c>
      <c r="L1100" s="33" t="str">
        <f t="shared" si="126"/>
        <v/>
      </c>
      <c r="M1100" t="str">
        <f t="shared" si="127"/>
        <v/>
      </c>
      <c r="N1100" s="33" t="str">
        <f t="shared" si="128"/>
        <v/>
      </c>
      <c r="O1100" s="33" t="str">
        <f t="shared" si="129"/>
        <v/>
      </c>
      <c r="P1100" t="str">
        <f t="shared" si="130"/>
        <v/>
      </c>
      <c r="Q1100" s="33" t="str">
        <f t="shared" si="131"/>
        <v/>
      </c>
      <c r="R1100" s="39" t="str">
        <f t="shared" si="132"/>
        <v/>
      </c>
    </row>
    <row r="1101" spans="6:18" x14ac:dyDescent="0.25">
      <c r="F1101" s="35">
        <v>1095</v>
      </c>
      <c r="L1101" s="33" t="str">
        <f t="shared" si="126"/>
        <v/>
      </c>
      <c r="M1101" t="str">
        <f t="shared" si="127"/>
        <v/>
      </c>
      <c r="N1101" s="33" t="str">
        <f t="shared" si="128"/>
        <v/>
      </c>
      <c r="O1101" s="33" t="str">
        <f t="shared" si="129"/>
        <v/>
      </c>
      <c r="P1101" t="str">
        <f t="shared" si="130"/>
        <v/>
      </c>
      <c r="Q1101" s="33" t="str">
        <f t="shared" si="131"/>
        <v/>
      </c>
      <c r="R1101" s="39" t="str">
        <f t="shared" si="132"/>
        <v/>
      </c>
    </row>
    <row r="1102" spans="6:18" x14ac:dyDescent="0.25">
      <c r="F1102" s="35">
        <v>1096</v>
      </c>
      <c r="L1102" s="33" t="str">
        <f t="shared" si="126"/>
        <v/>
      </c>
      <c r="M1102" t="str">
        <f t="shared" si="127"/>
        <v/>
      </c>
      <c r="N1102" s="33" t="str">
        <f t="shared" si="128"/>
        <v/>
      </c>
      <c r="O1102" s="33" t="str">
        <f t="shared" si="129"/>
        <v/>
      </c>
      <c r="P1102" t="str">
        <f t="shared" si="130"/>
        <v/>
      </c>
      <c r="Q1102" s="33" t="str">
        <f t="shared" si="131"/>
        <v/>
      </c>
      <c r="R1102" s="39" t="str">
        <f t="shared" si="132"/>
        <v/>
      </c>
    </row>
    <row r="1103" spans="6:18" x14ac:dyDescent="0.25">
      <c r="F1103" s="35">
        <v>1097</v>
      </c>
      <c r="L1103" s="33" t="str">
        <f t="shared" si="126"/>
        <v/>
      </c>
      <c r="M1103" t="str">
        <f t="shared" si="127"/>
        <v/>
      </c>
      <c r="N1103" s="33" t="str">
        <f t="shared" si="128"/>
        <v/>
      </c>
      <c r="O1103" s="33" t="str">
        <f t="shared" si="129"/>
        <v/>
      </c>
      <c r="P1103" t="str">
        <f t="shared" si="130"/>
        <v/>
      </c>
      <c r="Q1103" s="33" t="str">
        <f t="shared" si="131"/>
        <v/>
      </c>
      <c r="R1103" s="39" t="str">
        <f t="shared" si="132"/>
        <v/>
      </c>
    </row>
    <row r="1104" spans="6:18" x14ac:dyDescent="0.25">
      <c r="F1104" s="35">
        <v>1098</v>
      </c>
      <c r="L1104" s="33" t="str">
        <f t="shared" si="126"/>
        <v/>
      </c>
      <c r="M1104" t="str">
        <f t="shared" si="127"/>
        <v/>
      </c>
      <c r="N1104" s="33" t="str">
        <f t="shared" si="128"/>
        <v/>
      </c>
      <c r="O1104" s="33" t="str">
        <f t="shared" si="129"/>
        <v/>
      </c>
      <c r="P1104" t="str">
        <f t="shared" si="130"/>
        <v/>
      </c>
      <c r="Q1104" s="33" t="str">
        <f t="shared" si="131"/>
        <v/>
      </c>
      <c r="R1104" s="39" t="str">
        <f t="shared" si="132"/>
        <v/>
      </c>
    </row>
    <row r="1105" spans="6:18" x14ac:dyDescent="0.25">
      <c r="F1105" s="35">
        <v>1099</v>
      </c>
      <c r="L1105" s="33" t="str">
        <f t="shared" si="126"/>
        <v/>
      </c>
      <c r="M1105" t="str">
        <f t="shared" si="127"/>
        <v/>
      </c>
      <c r="N1105" s="33" t="str">
        <f t="shared" si="128"/>
        <v/>
      </c>
      <c r="O1105" s="33" t="str">
        <f t="shared" si="129"/>
        <v/>
      </c>
      <c r="P1105" t="str">
        <f t="shared" si="130"/>
        <v/>
      </c>
      <c r="Q1105" s="33" t="str">
        <f t="shared" si="131"/>
        <v/>
      </c>
      <c r="R1105" s="39" t="str">
        <f t="shared" si="132"/>
        <v/>
      </c>
    </row>
    <row r="1106" spans="6:18" x14ac:dyDescent="0.25">
      <c r="F1106" s="35">
        <v>1100</v>
      </c>
      <c r="L1106" s="33" t="str">
        <f t="shared" si="126"/>
        <v/>
      </c>
      <c r="M1106" t="str">
        <f t="shared" si="127"/>
        <v/>
      </c>
      <c r="N1106" s="33" t="str">
        <f t="shared" si="128"/>
        <v/>
      </c>
      <c r="O1106" s="33" t="str">
        <f t="shared" si="129"/>
        <v/>
      </c>
      <c r="P1106" t="str">
        <f t="shared" si="130"/>
        <v/>
      </c>
      <c r="Q1106" s="33" t="str">
        <f t="shared" si="131"/>
        <v/>
      </c>
      <c r="R1106" s="39" t="str">
        <f t="shared" si="132"/>
        <v/>
      </c>
    </row>
    <row r="1107" spans="6:18" x14ac:dyDescent="0.25">
      <c r="F1107" s="35">
        <v>1101</v>
      </c>
      <c r="L1107" s="33" t="str">
        <f t="shared" si="126"/>
        <v/>
      </c>
      <c r="M1107" t="str">
        <f t="shared" si="127"/>
        <v/>
      </c>
      <c r="N1107" s="33" t="str">
        <f t="shared" si="128"/>
        <v/>
      </c>
      <c r="O1107" s="33" t="str">
        <f t="shared" si="129"/>
        <v/>
      </c>
      <c r="P1107" t="str">
        <f t="shared" si="130"/>
        <v/>
      </c>
      <c r="Q1107" s="33" t="str">
        <f t="shared" si="131"/>
        <v/>
      </c>
      <c r="R1107" s="39" t="str">
        <f t="shared" si="132"/>
        <v/>
      </c>
    </row>
    <row r="1108" spans="6:18" x14ac:dyDescent="0.25">
      <c r="F1108" s="35">
        <v>1102</v>
      </c>
      <c r="L1108" s="33" t="str">
        <f t="shared" si="126"/>
        <v/>
      </c>
      <c r="M1108" t="str">
        <f t="shared" si="127"/>
        <v/>
      </c>
      <c r="N1108" s="33" t="str">
        <f t="shared" si="128"/>
        <v/>
      </c>
      <c r="O1108" s="33" t="str">
        <f t="shared" si="129"/>
        <v/>
      </c>
      <c r="P1108" t="str">
        <f t="shared" si="130"/>
        <v/>
      </c>
      <c r="Q1108" s="33" t="str">
        <f t="shared" si="131"/>
        <v/>
      </c>
      <c r="R1108" s="39" t="str">
        <f t="shared" si="132"/>
        <v/>
      </c>
    </row>
    <row r="1109" spans="6:18" x14ac:dyDescent="0.25">
      <c r="F1109" s="35">
        <v>1103</v>
      </c>
      <c r="L1109" s="33" t="str">
        <f t="shared" si="126"/>
        <v/>
      </c>
      <c r="M1109" t="str">
        <f t="shared" si="127"/>
        <v/>
      </c>
      <c r="N1109" s="33" t="str">
        <f t="shared" si="128"/>
        <v/>
      </c>
      <c r="O1109" s="33" t="str">
        <f t="shared" si="129"/>
        <v/>
      </c>
      <c r="P1109" t="str">
        <f t="shared" si="130"/>
        <v/>
      </c>
      <c r="Q1109" s="33" t="str">
        <f t="shared" si="131"/>
        <v/>
      </c>
      <c r="R1109" s="39" t="str">
        <f t="shared" si="132"/>
        <v/>
      </c>
    </row>
    <row r="1110" spans="6:18" x14ac:dyDescent="0.25">
      <c r="F1110" s="35">
        <v>1104</v>
      </c>
      <c r="L1110" s="33" t="str">
        <f t="shared" si="126"/>
        <v/>
      </c>
      <c r="M1110" t="str">
        <f t="shared" si="127"/>
        <v/>
      </c>
      <c r="N1110" s="33" t="str">
        <f t="shared" si="128"/>
        <v/>
      </c>
      <c r="O1110" s="33" t="str">
        <f t="shared" si="129"/>
        <v/>
      </c>
      <c r="P1110" t="str">
        <f t="shared" si="130"/>
        <v/>
      </c>
      <c r="Q1110" s="33" t="str">
        <f t="shared" si="131"/>
        <v/>
      </c>
      <c r="R1110" s="39" t="str">
        <f t="shared" si="132"/>
        <v/>
      </c>
    </row>
    <row r="1111" spans="6:18" x14ac:dyDescent="0.25">
      <c r="F1111" s="35">
        <v>1105</v>
      </c>
      <c r="L1111" s="33" t="str">
        <f t="shared" si="126"/>
        <v/>
      </c>
      <c r="M1111" t="str">
        <f t="shared" si="127"/>
        <v/>
      </c>
      <c r="N1111" s="33" t="str">
        <f t="shared" si="128"/>
        <v/>
      </c>
      <c r="O1111" s="33" t="str">
        <f t="shared" si="129"/>
        <v/>
      </c>
      <c r="P1111" t="str">
        <f t="shared" si="130"/>
        <v/>
      </c>
      <c r="Q1111" s="33" t="str">
        <f t="shared" si="131"/>
        <v/>
      </c>
      <c r="R1111" s="39" t="str">
        <f t="shared" si="132"/>
        <v/>
      </c>
    </row>
    <row r="1112" spans="6:18" x14ac:dyDescent="0.25">
      <c r="F1112" s="35">
        <v>1106</v>
      </c>
      <c r="L1112" s="33" t="str">
        <f t="shared" si="126"/>
        <v/>
      </c>
      <c r="M1112" t="str">
        <f t="shared" si="127"/>
        <v/>
      </c>
      <c r="N1112" s="33" t="str">
        <f t="shared" si="128"/>
        <v/>
      </c>
      <c r="O1112" s="33" t="str">
        <f t="shared" si="129"/>
        <v/>
      </c>
      <c r="P1112" t="str">
        <f t="shared" si="130"/>
        <v/>
      </c>
      <c r="Q1112" s="33" t="str">
        <f t="shared" si="131"/>
        <v/>
      </c>
      <c r="R1112" s="39" t="str">
        <f t="shared" si="132"/>
        <v/>
      </c>
    </row>
    <row r="1113" spans="6:18" x14ac:dyDescent="0.25">
      <c r="F1113" s="35">
        <v>1107</v>
      </c>
      <c r="L1113" s="33" t="str">
        <f t="shared" si="126"/>
        <v/>
      </c>
      <c r="M1113" t="str">
        <f t="shared" si="127"/>
        <v/>
      </c>
      <c r="N1113" s="33" t="str">
        <f t="shared" si="128"/>
        <v/>
      </c>
      <c r="O1113" s="33" t="str">
        <f t="shared" si="129"/>
        <v/>
      </c>
      <c r="P1113" t="str">
        <f t="shared" si="130"/>
        <v/>
      </c>
      <c r="Q1113" s="33" t="str">
        <f t="shared" si="131"/>
        <v/>
      </c>
      <c r="R1113" s="39" t="str">
        <f t="shared" si="132"/>
        <v/>
      </c>
    </row>
    <row r="1114" spans="6:18" x14ac:dyDescent="0.25">
      <c r="F1114" s="35">
        <v>1108</v>
      </c>
      <c r="L1114" s="33" t="str">
        <f t="shared" si="126"/>
        <v/>
      </c>
      <c r="M1114" t="str">
        <f t="shared" si="127"/>
        <v/>
      </c>
      <c r="N1114" s="33" t="str">
        <f t="shared" si="128"/>
        <v/>
      </c>
      <c r="O1114" s="33" t="str">
        <f t="shared" si="129"/>
        <v/>
      </c>
      <c r="P1114" t="str">
        <f t="shared" si="130"/>
        <v/>
      </c>
      <c r="Q1114" s="33" t="str">
        <f t="shared" si="131"/>
        <v/>
      </c>
      <c r="R1114" s="39" t="str">
        <f t="shared" si="132"/>
        <v/>
      </c>
    </row>
    <row r="1115" spans="6:18" x14ac:dyDescent="0.25">
      <c r="F1115" s="35">
        <v>1109</v>
      </c>
      <c r="L1115" s="33" t="str">
        <f t="shared" si="126"/>
        <v/>
      </c>
      <c r="M1115" t="str">
        <f t="shared" si="127"/>
        <v/>
      </c>
      <c r="N1115" s="33" t="str">
        <f t="shared" si="128"/>
        <v/>
      </c>
      <c r="O1115" s="33" t="str">
        <f t="shared" si="129"/>
        <v/>
      </c>
      <c r="P1115" t="str">
        <f t="shared" si="130"/>
        <v/>
      </c>
      <c r="Q1115" s="33" t="str">
        <f t="shared" si="131"/>
        <v/>
      </c>
      <c r="R1115" s="39" t="str">
        <f t="shared" si="132"/>
        <v/>
      </c>
    </row>
    <row r="1116" spans="6:18" x14ac:dyDescent="0.25">
      <c r="F1116" s="35">
        <v>1110</v>
      </c>
      <c r="L1116" s="33" t="str">
        <f t="shared" si="126"/>
        <v/>
      </c>
      <c r="M1116" t="str">
        <f t="shared" si="127"/>
        <v/>
      </c>
      <c r="N1116" s="33" t="str">
        <f t="shared" si="128"/>
        <v/>
      </c>
      <c r="O1116" s="33" t="str">
        <f t="shared" si="129"/>
        <v/>
      </c>
      <c r="P1116" t="str">
        <f t="shared" si="130"/>
        <v/>
      </c>
      <c r="Q1116" s="33" t="str">
        <f t="shared" si="131"/>
        <v/>
      </c>
      <c r="R1116" s="39" t="str">
        <f t="shared" si="132"/>
        <v/>
      </c>
    </row>
    <row r="1117" spans="6:18" x14ac:dyDescent="0.25">
      <c r="F1117" s="35">
        <v>1111</v>
      </c>
      <c r="L1117" s="33" t="str">
        <f t="shared" si="126"/>
        <v/>
      </c>
      <c r="M1117" t="str">
        <f t="shared" si="127"/>
        <v/>
      </c>
      <c r="N1117" s="33" t="str">
        <f t="shared" si="128"/>
        <v/>
      </c>
      <c r="O1117" s="33" t="str">
        <f t="shared" si="129"/>
        <v/>
      </c>
      <c r="P1117" t="str">
        <f t="shared" si="130"/>
        <v/>
      </c>
      <c r="Q1117" s="33" t="str">
        <f t="shared" si="131"/>
        <v/>
      </c>
      <c r="R1117" s="39" t="str">
        <f t="shared" si="132"/>
        <v/>
      </c>
    </row>
    <row r="1118" spans="6:18" x14ac:dyDescent="0.25">
      <c r="F1118" s="35">
        <v>1112</v>
      </c>
      <c r="L1118" s="33" t="str">
        <f t="shared" si="126"/>
        <v/>
      </c>
      <c r="M1118" t="str">
        <f t="shared" si="127"/>
        <v/>
      </c>
      <c r="N1118" s="33" t="str">
        <f t="shared" si="128"/>
        <v/>
      </c>
      <c r="O1118" s="33" t="str">
        <f t="shared" si="129"/>
        <v/>
      </c>
      <c r="P1118" t="str">
        <f t="shared" si="130"/>
        <v/>
      </c>
      <c r="Q1118" s="33" t="str">
        <f t="shared" si="131"/>
        <v/>
      </c>
      <c r="R1118" s="39" t="str">
        <f t="shared" si="132"/>
        <v/>
      </c>
    </row>
    <row r="1119" spans="6:18" x14ac:dyDescent="0.25">
      <c r="F1119" s="35">
        <v>1113</v>
      </c>
      <c r="L1119" s="33" t="str">
        <f t="shared" si="126"/>
        <v/>
      </c>
      <c r="M1119" t="str">
        <f t="shared" si="127"/>
        <v/>
      </c>
      <c r="N1119" s="33" t="str">
        <f t="shared" si="128"/>
        <v/>
      </c>
      <c r="O1119" s="33" t="str">
        <f t="shared" si="129"/>
        <v/>
      </c>
      <c r="P1119" t="str">
        <f t="shared" si="130"/>
        <v/>
      </c>
      <c r="Q1119" s="33" t="str">
        <f t="shared" si="131"/>
        <v/>
      </c>
      <c r="R1119" s="39" t="str">
        <f t="shared" si="132"/>
        <v/>
      </c>
    </row>
    <row r="1120" spans="6:18" x14ac:dyDescent="0.25">
      <c r="F1120" s="35">
        <v>1114</v>
      </c>
      <c r="L1120" s="33" t="str">
        <f t="shared" si="126"/>
        <v/>
      </c>
      <c r="M1120" t="str">
        <f t="shared" si="127"/>
        <v/>
      </c>
      <c r="N1120" s="33" t="str">
        <f t="shared" si="128"/>
        <v/>
      </c>
      <c r="O1120" s="33" t="str">
        <f t="shared" si="129"/>
        <v/>
      </c>
      <c r="P1120" t="str">
        <f t="shared" si="130"/>
        <v/>
      </c>
      <c r="Q1120" s="33" t="str">
        <f t="shared" si="131"/>
        <v/>
      </c>
      <c r="R1120" s="39" t="str">
        <f t="shared" si="132"/>
        <v/>
      </c>
    </row>
    <row r="1121" spans="6:18" x14ac:dyDescent="0.25">
      <c r="F1121" s="35">
        <v>1115</v>
      </c>
      <c r="L1121" s="33" t="str">
        <f t="shared" si="126"/>
        <v/>
      </c>
      <c r="M1121" t="str">
        <f t="shared" si="127"/>
        <v/>
      </c>
      <c r="N1121" s="33" t="str">
        <f t="shared" si="128"/>
        <v/>
      </c>
      <c r="O1121" s="33" t="str">
        <f t="shared" si="129"/>
        <v/>
      </c>
      <c r="P1121" t="str">
        <f t="shared" si="130"/>
        <v/>
      </c>
      <c r="Q1121" s="33" t="str">
        <f t="shared" si="131"/>
        <v/>
      </c>
      <c r="R1121" s="39" t="str">
        <f t="shared" si="132"/>
        <v/>
      </c>
    </row>
    <row r="1122" spans="6:18" x14ac:dyDescent="0.25">
      <c r="F1122" s="35">
        <v>1116</v>
      </c>
      <c r="L1122" s="33" t="str">
        <f t="shared" si="126"/>
        <v/>
      </c>
      <c r="M1122" t="str">
        <f t="shared" si="127"/>
        <v/>
      </c>
      <c r="N1122" s="33" t="str">
        <f t="shared" si="128"/>
        <v/>
      </c>
      <c r="O1122" s="33" t="str">
        <f t="shared" si="129"/>
        <v/>
      </c>
      <c r="P1122" t="str">
        <f t="shared" si="130"/>
        <v/>
      </c>
      <c r="Q1122" s="33" t="str">
        <f t="shared" si="131"/>
        <v/>
      </c>
      <c r="R1122" s="39" t="str">
        <f t="shared" si="132"/>
        <v/>
      </c>
    </row>
    <row r="1123" spans="6:18" x14ac:dyDescent="0.25">
      <c r="F1123" s="35">
        <v>1117</v>
      </c>
      <c r="L1123" s="33" t="str">
        <f t="shared" si="126"/>
        <v/>
      </c>
      <c r="M1123" t="str">
        <f t="shared" si="127"/>
        <v/>
      </c>
      <c r="N1123" s="33" t="str">
        <f t="shared" si="128"/>
        <v/>
      </c>
      <c r="O1123" s="33" t="str">
        <f t="shared" si="129"/>
        <v/>
      </c>
      <c r="P1123" t="str">
        <f t="shared" si="130"/>
        <v/>
      </c>
      <c r="Q1123" s="33" t="str">
        <f t="shared" si="131"/>
        <v/>
      </c>
      <c r="R1123" s="39" t="str">
        <f t="shared" si="132"/>
        <v/>
      </c>
    </row>
    <row r="1124" spans="6:18" x14ac:dyDescent="0.25">
      <c r="F1124" s="35">
        <v>1118</v>
      </c>
      <c r="L1124" s="33" t="str">
        <f t="shared" si="126"/>
        <v/>
      </c>
      <c r="M1124" t="str">
        <f t="shared" si="127"/>
        <v/>
      </c>
      <c r="N1124" s="33" t="str">
        <f t="shared" si="128"/>
        <v/>
      </c>
      <c r="O1124" s="33" t="str">
        <f t="shared" si="129"/>
        <v/>
      </c>
      <c r="P1124" t="str">
        <f t="shared" si="130"/>
        <v/>
      </c>
      <c r="Q1124" s="33" t="str">
        <f t="shared" si="131"/>
        <v/>
      </c>
      <c r="R1124" s="39" t="str">
        <f t="shared" si="132"/>
        <v/>
      </c>
    </row>
    <row r="1125" spans="6:18" x14ac:dyDescent="0.25">
      <c r="F1125" s="35">
        <v>1119</v>
      </c>
      <c r="L1125" s="33" t="str">
        <f t="shared" si="126"/>
        <v/>
      </c>
      <c r="M1125" t="str">
        <f t="shared" si="127"/>
        <v/>
      </c>
      <c r="N1125" s="33" t="str">
        <f t="shared" si="128"/>
        <v/>
      </c>
      <c r="O1125" s="33" t="str">
        <f t="shared" si="129"/>
        <v/>
      </c>
      <c r="P1125" t="str">
        <f t="shared" si="130"/>
        <v/>
      </c>
      <c r="Q1125" s="33" t="str">
        <f t="shared" si="131"/>
        <v/>
      </c>
      <c r="R1125" s="39" t="str">
        <f t="shared" si="132"/>
        <v/>
      </c>
    </row>
    <row r="1126" spans="6:18" x14ac:dyDescent="0.25">
      <c r="F1126" s="35">
        <v>1120</v>
      </c>
      <c r="L1126" s="33" t="str">
        <f t="shared" si="126"/>
        <v/>
      </c>
      <c r="M1126" t="str">
        <f t="shared" si="127"/>
        <v/>
      </c>
      <c r="N1126" s="33" t="str">
        <f t="shared" si="128"/>
        <v/>
      </c>
      <c r="O1126" s="33" t="str">
        <f t="shared" si="129"/>
        <v/>
      </c>
      <c r="P1126" t="str">
        <f t="shared" si="130"/>
        <v/>
      </c>
      <c r="Q1126" s="33" t="str">
        <f t="shared" si="131"/>
        <v/>
      </c>
      <c r="R1126" s="39" t="str">
        <f t="shared" si="132"/>
        <v/>
      </c>
    </row>
    <row r="1127" spans="6:18" x14ac:dyDescent="0.25">
      <c r="F1127" s="35">
        <v>1121</v>
      </c>
      <c r="L1127" s="33" t="str">
        <f t="shared" si="126"/>
        <v/>
      </c>
      <c r="M1127" t="str">
        <f t="shared" si="127"/>
        <v/>
      </c>
      <c r="N1127" s="33" t="str">
        <f t="shared" si="128"/>
        <v/>
      </c>
      <c r="O1127" s="33" t="str">
        <f t="shared" si="129"/>
        <v/>
      </c>
      <c r="P1127" t="str">
        <f t="shared" si="130"/>
        <v/>
      </c>
      <c r="Q1127" s="33" t="str">
        <f t="shared" si="131"/>
        <v/>
      </c>
      <c r="R1127" s="39" t="str">
        <f t="shared" si="132"/>
        <v/>
      </c>
    </row>
    <row r="1128" spans="6:18" x14ac:dyDescent="0.25">
      <c r="F1128" s="35">
        <v>1122</v>
      </c>
      <c r="L1128" s="33" t="str">
        <f t="shared" si="126"/>
        <v/>
      </c>
      <c r="M1128" t="str">
        <f t="shared" si="127"/>
        <v/>
      </c>
      <c r="N1128" s="33" t="str">
        <f t="shared" si="128"/>
        <v/>
      </c>
      <c r="O1128" s="33" t="str">
        <f t="shared" si="129"/>
        <v/>
      </c>
      <c r="P1128" t="str">
        <f t="shared" si="130"/>
        <v/>
      </c>
      <c r="Q1128" s="33" t="str">
        <f t="shared" si="131"/>
        <v/>
      </c>
      <c r="R1128" s="39" t="str">
        <f t="shared" si="132"/>
        <v/>
      </c>
    </row>
    <row r="1129" spans="6:18" x14ac:dyDescent="0.25">
      <c r="F1129" s="35">
        <v>1123</v>
      </c>
      <c r="L1129" s="33" t="str">
        <f t="shared" si="126"/>
        <v/>
      </c>
      <c r="M1129" t="str">
        <f t="shared" si="127"/>
        <v/>
      </c>
      <c r="N1129" s="33" t="str">
        <f t="shared" si="128"/>
        <v/>
      </c>
      <c r="O1129" s="33" t="str">
        <f t="shared" si="129"/>
        <v/>
      </c>
      <c r="P1129" t="str">
        <f t="shared" si="130"/>
        <v/>
      </c>
      <c r="Q1129" s="33" t="str">
        <f t="shared" si="131"/>
        <v/>
      </c>
      <c r="R1129" s="39" t="str">
        <f t="shared" si="132"/>
        <v/>
      </c>
    </row>
    <row r="1130" spans="6:18" x14ac:dyDescent="0.25">
      <c r="F1130" s="35">
        <v>1124</v>
      </c>
      <c r="L1130" s="33" t="str">
        <f t="shared" si="126"/>
        <v/>
      </c>
      <c r="M1130" t="str">
        <f t="shared" si="127"/>
        <v/>
      </c>
      <c r="N1130" s="33" t="str">
        <f t="shared" si="128"/>
        <v/>
      </c>
      <c r="O1130" s="33" t="str">
        <f t="shared" si="129"/>
        <v/>
      </c>
      <c r="P1130" t="str">
        <f t="shared" si="130"/>
        <v/>
      </c>
      <c r="Q1130" s="33" t="str">
        <f t="shared" si="131"/>
        <v/>
      </c>
      <c r="R1130" s="39" t="str">
        <f t="shared" si="132"/>
        <v/>
      </c>
    </row>
    <row r="1131" spans="6:18" x14ac:dyDescent="0.25">
      <c r="F1131" s="35">
        <v>1125</v>
      </c>
      <c r="L1131" s="33" t="str">
        <f t="shared" si="126"/>
        <v/>
      </c>
      <c r="M1131" t="str">
        <f t="shared" si="127"/>
        <v/>
      </c>
      <c r="N1131" s="33" t="str">
        <f t="shared" si="128"/>
        <v/>
      </c>
      <c r="O1131" s="33" t="str">
        <f t="shared" si="129"/>
        <v/>
      </c>
      <c r="P1131" t="str">
        <f t="shared" si="130"/>
        <v/>
      </c>
      <c r="Q1131" s="33" t="str">
        <f t="shared" si="131"/>
        <v/>
      </c>
      <c r="R1131" s="39" t="str">
        <f t="shared" si="132"/>
        <v/>
      </c>
    </row>
    <row r="1132" spans="6:18" x14ac:dyDescent="0.25">
      <c r="F1132" s="35">
        <v>1126</v>
      </c>
      <c r="L1132" s="33" t="str">
        <f t="shared" si="126"/>
        <v/>
      </c>
      <c r="M1132" t="str">
        <f t="shared" si="127"/>
        <v/>
      </c>
      <c r="N1132" s="33" t="str">
        <f t="shared" si="128"/>
        <v/>
      </c>
      <c r="O1132" s="33" t="str">
        <f t="shared" si="129"/>
        <v/>
      </c>
      <c r="P1132" t="str">
        <f t="shared" si="130"/>
        <v/>
      </c>
      <c r="Q1132" s="33" t="str">
        <f t="shared" si="131"/>
        <v/>
      </c>
      <c r="R1132" s="39" t="str">
        <f t="shared" si="132"/>
        <v/>
      </c>
    </row>
    <row r="1133" spans="6:18" x14ac:dyDescent="0.25">
      <c r="F1133" s="35">
        <v>1127</v>
      </c>
      <c r="L1133" s="33" t="str">
        <f t="shared" si="126"/>
        <v/>
      </c>
      <c r="M1133" t="str">
        <f t="shared" si="127"/>
        <v/>
      </c>
      <c r="N1133" s="33" t="str">
        <f t="shared" si="128"/>
        <v/>
      </c>
      <c r="O1133" s="33" t="str">
        <f t="shared" si="129"/>
        <v/>
      </c>
      <c r="P1133" t="str">
        <f t="shared" si="130"/>
        <v/>
      </c>
      <c r="Q1133" s="33" t="str">
        <f t="shared" si="131"/>
        <v/>
      </c>
      <c r="R1133" s="39" t="str">
        <f t="shared" si="132"/>
        <v/>
      </c>
    </row>
    <row r="1134" spans="6:18" x14ac:dyDescent="0.25">
      <c r="F1134" s="35">
        <v>1128</v>
      </c>
      <c r="L1134" s="33" t="str">
        <f t="shared" si="126"/>
        <v/>
      </c>
      <c r="M1134" t="str">
        <f t="shared" si="127"/>
        <v/>
      </c>
      <c r="N1134" s="33" t="str">
        <f t="shared" si="128"/>
        <v/>
      </c>
      <c r="O1134" s="33" t="str">
        <f t="shared" si="129"/>
        <v/>
      </c>
      <c r="P1134" t="str">
        <f t="shared" si="130"/>
        <v/>
      </c>
      <c r="Q1134" s="33" t="str">
        <f t="shared" si="131"/>
        <v/>
      </c>
      <c r="R1134" s="39" t="str">
        <f t="shared" si="132"/>
        <v/>
      </c>
    </row>
    <row r="1135" spans="6:18" x14ac:dyDescent="0.25">
      <c r="F1135" s="35">
        <v>1129</v>
      </c>
      <c r="L1135" s="33" t="str">
        <f t="shared" si="126"/>
        <v/>
      </c>
      <c r="M1135" t="str">
        <f t="shared" si="127"/>
        <v/>
      </c>
      <c r="N1135" s="33" t="str">
        <f t="shared" si="128"/>
        <v/>
      </c>
      <c r="O1135" s="33" t="str">
        <f t="shared" si="129"/>
        <v/>
      </c>
      <c r="P1135" t="str">
        <f t="shared" si="130"/>
        <v/>
      </c>
      <c r="Q1135" s="33" t="str">
        <f t="shared" si="131"/>
        <v/>
      </c>
      <c r="R1135" s="39" t="str">
        <f t="shared" si="132"/>
        <v/>
      </c>
    </row>
    <row r="1136" spans="6:18" x14ac:dyDescent="0.25">
      <c r="F1136" s="35">
        <v>1130</v>
      </c>
      <c r="L1136" s="33" t="str">
        <f t="shared" si="126"/>
        <v/>
      </c>
      <c r="M1136" t="str">
        <f t="shared" si="127"/>
        <v/>
      </c>
      <c r="N1136" s="33" t="str">
        <f t="shared" si="128"/>
        <v/>
      </c>
      <c r="O1136" s="33" t="str">
        <f t="shared" si="129"/>
        <v/>
      </c>
      <c r="P1136" t="str">
        <f t="shared" si="130"/>
        <v/>
      </c>
      <c r="Q1136" s="33" t="str">
        <f t="shared" si="131"/>
        <v/>
      </c>
      <c r="R1136" s="39" t="str">
        <f t="shared" si="132"/>
        <v/>
      </c>
    </row>
    <row r="1137" spans="6:18" x14ac:dyDescent="0.25">
      <c r="F1137" s="35">
        <v>1131</v>
      </c>
      <c r="L1137" s="33" t="str">
        <f t="shared" si="126"/>
        <v/>
      </c>
      <c r="M1137" t="str">
        <f t="shared" si="127"/>
        <v/>
      </c>
      <c r="N1137" s="33" t="str">
        <f t="shared" si="128"/>
        <v/>
      </c>
      <c r="O1137" s="33" t="str">
        <f t="shared" si="129"/>
        <v/>
      </c>
      <c r="P1137" t="str">
        <f t="shared" si="130"/>
        <v/>
      </c>
      <c r="Q1137" s="33" t="str">
        <f t="shared" si="131"/>
        <v/>
      </c>
      <c r="R1137" s="39" t="str">
        <f t="shared" si="132"/>
        <v/>
      </c>
    </row>
    <row r="1138" spans="6:18" x14ac:dyDescent="0.25">
      <c r="F1138" s="35">
        <v>1132</v>
      </c>
      <c r="L1138" s="33" t="str">
        <f t="shared" si="126"/>
        <v/>
      </c>
      <c r="M1138" t="str">
        <f t="shared" si="127"/>
        <v/>
      </c>
      <c r="N1138" s="33" t="str">
        <f t="shared" si="128"/>
        <v/>
      </c>
      <c r="O1138" s="33" t="str">
        <f t="shared" si="129"/>
        <v/>
      </c>
      <c r="P1138" t="str">
        <f t="shared" si="130"/>
        <v/>
      </c>
      <c r="Q1138" s="33" t="str">
        <f t="shared" si="131"/>
        <v/>
      </c>
      <c r="R1138" s="39" t="str">
        <f t="shared" si="132"/>
        <v/>
      </c>
    </row>
    <row r="1139" spans="6:18" x14ac:dyDescent="0.25">
      <c r="F1139" s="35">
        <v>1133</v>
      </c>
      <c r="L1139" s="33" t="str">
        <f t="shared" si="126"/>
        <v/>
      </c>
      <c r="M1139" t="str">
        <f t="shared" si="127"/>
        <v/>
      </c>
      <c r="N1139" s="33" t="str">
        <f t="shared" si="128"/>
        <v/>
      </c>
      <c r="O1139" s="33" t="str">
        <f t="shared" si="129"/>
        <v/>
      </c>
      <c r="P1139" t="str">
        <f t="shared" si="130"/>
        <v/>
      </c>
      <c r="Q1139" s="33" t="str">
        <f t="shared" si="131"/>
        <v/>
      </c>
      <c r="R1139" s="39" t="str">
        <f t="shared" si="132"/>
        <v/>
      </c>
    </row>
    <row r="1140" spans="6:18" x14ac:dyDescent="0.25">
      <c r="F1140" s="35">
        <v>1134</v>
      </c>
      <c r="L1140" s="33" t="str">
        <f t="shared" si="126"/>
        <v/>
      </c>
      <c r="M1140" t="str">
        <f t="shared" si="127"/>
        <v/>
      </c>
      <c r="N1140" s="33" t="str">
        <f t="shared" si="128"/>
        <v/>
      </c>
      <c r="O1140" s="33" t="str">
        <f t="shared" si="129"/>
        <v/>
      </c>
      <c r="P1140" t="str">
        <f t="shared" si="130"/>
        <v/>
      </c>
      <c r="Q1140" s="33" t="str">
        <f t="shared" si="131"/>
        <v/>
      </c>
      <c r="R1140" s="39" t="str">
        <f t="shared" si="132"/>
        <v/>
      </c>
    </row>
    <row r="1141" spans="6:18" x14ac:dyDescent="0.25">
      <c r="F1141" s="35">
        <v>1135</v>
      </c>
      <c r="L1141" s="33" t="str">
        <f t="shared" si="126"/>
        <v/>
      </c>
      <c r="M1141" t="str">
        <f t="shared" si="127"/>
        <v/>
      </c>
      <c r="N1141" s="33" t="str">
        <f t="shared" si="128"/>
        <v/>
      </c>
      <c r="O1141" s="33" t="str">
        <f t="shared" si="129"/>
        <v/>
      </c>
      <c r="P1141" t="str">
        <f t="shared" si="130"/>
        <v/>
      </c>
      <c r="Q1141" s="33" t="str">
        <f t="shared" si="131"/>
        <v/>
      </c>
      <c r="R1141" s="39" t="str">
        <f t="shared" si="132"/>
        <v/>
      </c>
    </row>
    <row r="1142" spans="6:18" x14ac:dyDescent="0.25">
      <c r="F1142" s="35">
        <v>1136</v>
      </c>
      <c r="L1142" s="33" t="str">
        <f t="shared" si="126"/>
        <v/>
      </c>
      <c r="M1142" t="str">
        <f t="shared" si="127"/>
        <v/>
      </c>
      <c r="N1142" s="33" t="str">
        <f t="shared" si="128"/>
        <v/>
      </c>
      <c r="O1142" s="33" t="str">
        <f t="shared" si="129"/>
        <v/>
      </c>
      <c r="P1142" t="str">
        <f t="shared" si="130"/>
        <v/>
      </c>
      <c r="Q1142" s="33" t="str">
        <f t="shared" si="131"/>
        <v/>
      </c>
      <c r="R1142" s="39" t="str">
        <f t="shared" si="132"/>
        <v/>
      </c>
    </row>
    <row r="1143" spans="6:18" x14ac:dyDescent="0.25">
      <c r="F1143" s="35">
        <v>1137</v>
      </c>
      <c r="L1143" s="33" t="str">
        <f t="shared" si="126"/>
        <v/>
      </c>
      <c r="M1143" t="str">
        <f t="shared" si="127"/>
        <v/>
      </c>
      <c r="N1143" s="33" t="str">
        <f t="shared" si="128"/>
        <v/>
      </c>
      <c r="O1143" s="33" t="str">
        <f t="shared" si="129"/>
        <v/>
      </c>
      <c r="P1143" t="str">
        <f t="shared" si="130"/>
        <v/>
      </c>
      <c r="Q1143" s="33" t="str">
        <f t="shared" si="131"/>
        <v/>
      </c>
      <c r="R1143" s="39" t="str">
        <f t="shared" si="132"/>
        <v/>
      </c>
    </row>
    <row r="1144" spans="6:18" x14ac:dyDescent="0.25">
      <c r="F1144" s="35">
        <v>1138</v>
      </c>
      <c r="L1144" s="33" t="str">
        <f t="shared" si="126"/>
        <v/>
      </c>
      <c r="M1144" t="str">
        <f t="shared" si="127"/>
        <v/>
      </c>
      <c r="N1144" s="33" t="str">
        <f t="shared" si="128"/>
        <v/>
      </c>
      <c r="O1144" s="33" t="str">
        <f t="shared" si="129"/>
        <v/>
      </c>
      <c r="P1144" t="str">
        <f t="shared" si="130"/>
        <v/>
      </c>
      <c r="Q1144" s="33" t="str">
        <f t="shared" si="131"/>
        <v/>
      </c>
      <c r="R1144" s="39" t="str">
        <f t="shared" si="132"/>
        <v/>
      </c>
    </row>
    <row r="1145" spans="6:18" x14ac:dyDescent="0.25">
      <c r="F1145" s="35">
        <v>1139</v>
      </c>
      <c r="L1145" s="33" t="str">
        <f t="shared" si="126"/>
        <v/>
      </c>
      <c r="M1145" t="str">
        <f t="shared" si="127"/>
        <v/>
      </c>
      <c r="N1145" s="33" t="str">
        <f t="shared" si="128"/>
        <v/>
      </c>
      <c r="O1145" s="33" t="str">
        <f t="shared" si="129"/>
        <v/>
      </c>
      <c r="P1145" t="str">
        <f t="shared" si="130"/>
        <v/>
      </c>
      <c r="Q1145" s="33" t="str">
        <f t="shared" si="131"/>
        <v/>
      </c>
      <c r="R1145" s="39" t="str">
        <f t="shared" si="132"/>
        <v/>
      </c>
    </row>
    <row r="1146" spans="6:18" x14ac:dyDescent="0.25">
      <c r="F1146" s="35">
        <v>1140</v>
      </c>
      <c r="L1146" s="33" t="str">
        <f t="shared" si="126"/>
        <v/>
      </c>
      <c r="M1146" t="str">
        <f t="shared" si="127"/>
        <v/>
      </c>
      <c r="N1146" s="33" t="str">
        <f t="shared" si="128"/>
        <v/>
      </c>
      <c r="O1146" s="33" t="str">
        <f t="shared" si="129"/>
        <v/>
      </c>
      <c r="P1146" t="str">
        <f t="shared" si="130"/>
        <v/>
      </c>
      <c r="Q1146" s="33" t="str">
        <f t="shared" si="131"/>
        <v/>
      </c>
      <c r="R1146" s="39" t="str">
        <f t="shared" si="132"/>
        <v/>
      </c>
    </row>
    <row r="1147" spans="6:18" x14ac:dyDescent="0.25">
      <c r="F1147" s="35">
        <v>1141</v>
      </c>
      <c r="L1147" s="33" t="str">
        <f t="shared" si="126"/>
        <v/>
      </c>
      <c r="M1147" t="str">
        <f t="shared" si="127"/>
        <v/>
      </c>
      <c r="N1147" s="33" t="str">
        <f t="shared" si="128"/>
        <v/>
      </c>
      <c r="O1147" s="33" t="str">
        <f t="shared" si="129"/>
        <v/>
      </c>
      <c r="P1147" t="str">
        <f t="shared" si="130"/>
        <v/>
      </c>
      <c r="Q1147" s="33" t="str">
        <f t="shared" si="131"/>
        <v/>
      </c>
      <c r="R1147" s="39" t="str">
        <f t="shared" si="132"/>
        <v/>
      </c>
    </row>
    <row r="1148" spans="6:18" x14ac:dyDescent="0.25">
      <c r="F1148" s="35">
        <v>1142</v>
      </c>
      <c r="L1148" s="33" t="str">
        <f t="shared" si="126"/>
        <v/>
      </c>
      <c r="M1148" t="str">
        <f t="shared" si="127"/>
        <v/>
      </c>
      <c r="N1148" s="33" t="str">
        <f t="shared" si="128"/>
        <v/>
      </c>
      <c r="O1148" s="33" t="str">
        <f t="shared" si="129"/>
        <v/>
      </c>
      <c r="P1148" t="str">
        <f t="shared" si="130"/>
        <v/>
      </c>
      <c r="Q1148" s="33" t="str">
        <f t="shared" si="131"/>
        <v/>
      </c>
      <c r="R1148" s="39" t="str">
        <f t="shared" si="132"/>
        <v/>
      </c>
    </row>
    <row r="1149" spans="6:18" x14ac:dyDescent="0.25">
      <c r="F1149" s="35">
        <v>1143</v>
      </c>
      <c r="L1149" s="33" t="str">
        <f t="shared" si="126"/>
        <v/>
      </c>
      <c r="M1149" t="str">
        <f t="shared" si="127"/>
        <v/>
      </c>
      <c r="N1149" s="33" t="str">
        <f t="shared" si="128"/>
        <v/>
      </c>
      <c r="O1149" s="33" t="str">
        <f t="shared" si="129"/>
        <v/>
      </c>
      <c r="P1149" t="str">
        <f t="shared" si="130"/>
        <v/>
      </c>
      <c r="Q1149" s="33" t="str">
        <f t="shared" si="131"/>
        <v/>
      </c>
      <c r="R1149" s="39" t="str">
        <f t="shared" si="132"/>
        <v/>
      </c>
    </row>
    <row r="1150" spans="6:18" x14ac:dyDescent="0.25">
      <c r="F1150" s="35">
        <v>1144</v>
      </c>
      <c r="L1150" s="33" t="str">
        <f t="shared" si="126"/>
        <v/>
      </c>
      <c r="M1150" t="str">
        <f t="shared" si="127"/>
        <v/>
      </c>
      <c r="N1150" s="33" t="str">
        <f t="shared" si="128"/>
        <v/>
      </c>
      <c r="O1150" s="33" t="str">
        <f t="shared" si="129"/>
        <v/>
      </c>
      <c r="P1150" t="str">
        <f t="shared" si="130"/>
        <v/>
      </c>
      <c r="Q1150" s="33" t="str">
        <f t="shared" si="131"/>
        <v/>
      </c>
      <c r="R1150" s="39" t="str">
        <f t="shared" si="132"/>
        <v/>
      </c>
    </row>
    <row r="1151" spans="6:18" x14ac:dyDescent="0.25">
      <c r="F1151" s="35">
        <v>1145</v>
      </c>
      <c r="L1151" s="33" t="str">
        <f t="shared" si="126"/>
        <v/>
      </c>
      <c r="M1151" t="str">
        <f t="shared" si="127"/>
        <v/>
      </c>
      <c r="N1151" s="33" t="str">
        <f t="shared" si="128"/>
        <v/>
      </c>
      <c r="O1151" s="33" t="str">
        <f t="shared" si="129"/>
        <v/>
      </c>
      <c r="P1151" t="str">
        <f t="shared" si="130"/>
        <v/>
      </c>
      <c r="Q1151" s="33" t="str">
        <f t="shared" si="131"/>
        <v/>
      </c>
      <c r="R1151" s="39" t="str">
        <f t="shared" si="132"/>
        <v/>
      </c>
    </row>
    <row r="1152" spans="6:18" x14ac:dyDescent="0.25">
      <c r="F1152" s="35">
        <v>1146</v>
      </c>
      <c r="L1152" s="33" t="str">
        <f t="shared" si="126"/>
        <v/>
      </c>
      <c r="M1152" t="str">
        <f t="shared" si="127"/>
        <v/>
      </c>
      <c r="N1152" s="33" t="str">
        <f t="shared" si="128"/>
        <v/>
      </c>
      <c r="O1152" s="33" t="str">
        <f t="shared" si="129"/>
        <v/>
      </c>
      <c r="P1152" t="str">
        <f t="shared" si="130"/>
        <v/>
      </c>
      <c r="Q1152" s="33" t="str">
        <f t="shared" si="131"/>
        <v/>
      </c>
      <c r="R1152" s="39" t="str">
        <f t="shared" si="132"/>
        <v/>
      </c>
    </row>
    <row r="1153" spans="6:18" x14ac:dyDescent="0.25">
      <c r="F1153" s="35">
        <v>1147</v>
      </c>
      <c r="L1153" s="33" t="str">
        <f t="shared" si="126"/>
        <v/>
      </c>
      <c r="M1153" t="str">
        <f t="shared" si="127"/>
        <v/>
      </c>
      <c r="N1153" s="33" t="str">
        <f t="shared" si="128"/>
        <v/>
      </c>
      <c r="O1153" s="33" t="str">
        <f t="shared" si="129"/>
        <v/>
      </c>
      <c r="P1153" t="str">
        <f t="shared" si="130"/>
        <v/>
      </c>
      <c r="Q1153" s="33" t="str">
        <f t="shared" si="131"/>
        <v/>
      </c>
      <c r="R1153" s="39" t="str">
        <f t="shared" si="132"/>
        <v/>
      </c>
    </row>
    <row r="1154" spans="6:18" x14ac:dyDescent="0.25">
      <c r="F1154" s="35">
        <v>1148</v>
      </c>
      <c r="L1154" s="33" t="str">
        <f t="shared" si="126"/>
        <v/>
      </c>
      <c r="M1154" t="str">
        <f t="shared" si="127"/>
        <v/>
      </c>
      <c r="N1154" s="33" t="str">
        <f t="shared" si="128"/>
        <v/>
      </c>
      <c r="O1154" s="33" t="str">
        <f t="shared" si="129"/>
        <v/>
      </c>
      <c r="P1154" t="str">
        <f t="shared" si="130"/>
        <v/>
      </c>
      <c r="Q1154" s="33" t="str">
        <f t="shared" si="131"/>
        <v/>
      </c>
      <c r="R1154" s="39" t="str">
        <f t="shared" si="132"/>
        <v/>
      </c>
    </row>
    <row r="1155" spans="6:18" x14ac:dyDescent="0.25">
      <c r="F1155" s="35">
        <v>1149</v>
      </c>
      <c r="L1155" s="33" t="str">
        <f t="shared" si="126"/>
        <v/>
      </c>
      <c r="M1155" t="str">
        <f t="shared" si="127"/>
        <v/>
      </c>
      <c r="N1155" s="33" t="str">
        <f t="shared" si="128"/>
        <v/>
      </c>
      <c r="O1155" s="33" t="str">
        <f t="shared" si="129"/>
        <v/>
      </c>
      <c r="P1155" t="str">
        <f t="shared" si="130"/>
        <v/>
      </c>
      <c r="Q1155" s="33" t="str">
        <f t="shared" si="131"/>
        <v/>
      </c>
      <c r="R1155" s="39" t="str">
        <f t="shared" si="132"/>
        <v/>
      </c>
    </row>
    <row r="1156" spans="6:18" x14ac:dyDescent="0.25">
      <c r="F1156" s="35">
        <v>1150</v>
      </c>
      <c r="L1156" s="33" t="str">
        <f t="shared" si="126"/>
        <v/>
      </c>
      <c r="M1156" t="str">
        <f t="shared" si="127"/>
        <v/>
      </c>
      <c r="N1156" s="33" t="str">
        <f t="shared" si="128"/>
        <v/>
      </c>
      <c r="O1156" s="33" t="str">
        <f t="shared" si="129"/>
        <v/>
      </c>
      <c r="P1156" t="str">
        <f t="shared" si="130"/>
        <v/>
      </c>
      <c r="Q1156" s="33" t="str">
        <f t="shared" si="131"/>
        <v/>
      </c>
      <c r="R1156" s="39" t="str">
        <f t="shared" si="132"/>
        <v/>
      </c>
    </row>
    <row r="1157" spans="6:18" x14ac:dyDescent="0.25">
      <c r="F1157" s="35">
        <v>1151</v>
      </c>
      <c r="L1157" s="33" t="str">
        <f t="shared" si="126"/>
        <v/>
      </c>
      <c r="M1157" t="str">
        <f t="shared" si="127"/>
        <v/>
      </c>
      <c r="N1157" s="33" t="str">
        <f t="shared" si="128"/>
        <v/>
      </c>
      <c r="O1157" s="33" t="str">
        <f t="shared" si="129"/>
        <v/>
      </c>
      <c r="P1157" t="str">
        <f t="shared" si="130"/>
        <v/>
      </c>
      <c r="Q1157" s="33" t="str">
        <f t="shared" si="131"/>
        <v/>
      </c>
      <c r="R1157" s="39" t="str">
        <f t="shared" si="132"/>
        <v/>
      </c>
    </row>
    <row r="1158" spans="6:18" x14ac:dyDescent="0.25">
      <c r="F1158" s="35">
        <v>1152</v>
      </c>
      <c r="L1158" s="33" t="str">
        <f t="shared" si="126"/>
        <v/>
      </c>
      <c r="M1158" t="str">
        <f t="shared" si="127"/>
        <v/>
      </c>
      <c r="N1158" s="33" t="str">
        <f t="shared" si="128"/>
        <v/>
      </c>
      <c r="O1158" s="33" t="str">
        <f t="shared" si="129"/>
        <v/>
      </c>
      <c r="P1158" t="str">
        <f t="shared" si="130"/>
        <v/>
      </c>
      <c r="Q1158" s="33" t="str">
        <f t="shared" si="131"/>
        <v/>
      </c>
      <c r="R1158" s="39" t="str">
        <f t="shared" si="132"/>
        <v/>
      </c>
    </row>
    <row r="1159" spans="6:18" x14ac:dyDescent="0.25">
      <c r="F1159" s="35">
        <v>1153</v>
      </c>
      <c r="L1159" s="33" t="str">
        <f t="shared" si="126"/>
        <v/>
      </c>
      <c r="M1159" t="str">
        <f t="shared" si="127"/>
        <v/>
      </c>
      <c r="N1159" s="33" t="str">
        <f t="shared" si="128"/>
        <v/>
      </c>
      <c r="O1159" s="33" t="str">
        <f t="shared" si="129"/>
        <v/>
      </c>
      <c r="P1159" t="str">
        <f t="shared" si="130"/>
        <v/>
      </c>
      <c r="Q1159" s="33" t="str">
        <f t="shared" si="131"/>
        <v/>
      </c>
      <c r="R1159" s="39" t="str">
        <f t="shared" si="132"/>
        <v/>
      </c>
    </row>
    <row r="1160" spans="6:18" x14ac:dyDescent="0.25">
      <c r="F1160" s="35">
        <v>1154</v>
      </c>
      <c r="L1160" s="33" t="str">
        <f t="shared" ref="L1160:L1223" si="133">IF(G1160="","",$C$4*$C$6*$C$7/360)</f>
        <v/>
      </c>
      <c r="M1160" t="str">
        <f t="shared" ref="M1160:M1223" si="134">IF(G1160="","",IF(H1160=$G$2,100,0))</f>
        <v/>
      </c>
      <c r="N1160" s="33" t="str">
        <f t="shared" ref="N1160:N1223" si="135">IF(G1160="","",L1160+M1160)</f>
        <v/>
      </c>
      <c r="O1160" s="33" t="str">
        <f t="shared" ref="O1160:O1223" si="136">IF(G1160="","",1/(1+$C$5*K1160/360)^(J1160/K1160))</f>
        <v/>
      </c>
      <c r="P1160" t="str">
        <f t="shared" ref="P1160:P1223" si="137">IF(G1160="","",H1160-$C$12)</f>
        <v/>
      </c>
      <c r="Q1160" s="33" t="str">
        <f t="shared" ref="Q1160:Q1223" si="138">IF(G1160="","",(P1160/K1160))</f>
        <v/>
      </c>
      <c r="R1160" s="39" t="str">
        <f t="shared" ref="R1160:R1223" si="139">IF(G1160="","",N1160*O1160)</f>
        <v/>
      </c>
    </row>
    <row r="1161" spans="6:18" x14ac:dyDescent="0.25">
      <c r="F1161" s="35">
        <v>1155</v>
      </c>
      <c r="L1161" s="33" t="str">
        <f t="shared" si="133"/>
        <v/>
      </c>
      <c r="M1161" t="str">
        <f t="shared" si="134"/>
        <v/>
      </c>
      <c r="N1161" s="33" t="str">
        <f t="shared" si="135"/>
        <v/>
      </c>
      <c r="O1161" s="33" t="str">
        <f t="shared" si="136"/>
        <v/>
      </c>
      <c r="P1161" t="str">
        <f t="shared" si="137"/>
        <v/>
      </c>
      <c r="Q1161" s="33" t="str">
        <f t="shared" si="138"/>
        <v/>
      </c>
      <c r="R1161" s="39" t="str">
        <f t="shared" si="139"/>
        <v/>
      </c>
    </row>
    <row r="1162" spans="6:18" x14ac:dyDescent="0.25">
      <c r="F1162" s="35">
        <v>1156</v>
      </c>
      <c r="L1162" s="33" t="str">
        <f t="shared" si="133"/>
        <v/>
      </c>
      <c r="M1162" t="str">
        <f t="shared" si="134"/>
        <v/>
      </c>
      <c r="N1162" s="33" t="str">
        <f t="shared" si="135"/>
        <v/>
      </c>
      <c r="O1162" s="33" t="str">
        <f t="shared" si="136"/>
        <v/>
      </c>
      <c r="P1162" t="str">
        <f t="shared" si="137"/>
        <v/>
      </c>
      <c r="Q1162" s="33" t="str">
        <f t="shared" si="138"/>
        <v/>
      </c>
      <c r="R1162" s="39" t="str">
        <f t="shared" si="139"/>
        <v/>
      </c>
    </row>
    <row r="1163" spans="6:18" x14ac:dyDescent="0.25">
      <c r="F1163" s="35">
        <v>1157</v>
      </c>
      <c r="L1163" s="33" t="str">
        <f t="shared" si="133"/>
        <v/>
      </c>
      <c r="M1163" t="str">
        <f t="shared" si="134"/>
        <v/>
      </c>
      <c r="N1163" s="33" t="str">
        <f t="shared" si="135"/>
        <v/>
      </c>
      <c r="O1163" s="33" t="str">
        <f t="shared" si="136"/>
        <v/>
      </c>
      <c r="P1163" t="str">
        <f t="shared" si="137"/>
        <v/>
      </c>
      <c r="Q1163" s="33" t="str">
        <f t="shared" si="138"/>
        <v/>
      </c>
      <c r="R1163" s="39" t="str">
        <f t="shared" si="139"/>
        <v/>
      </c>
    </row>
    <row r="1164" spans="6:18" x14ac:dyDescent="0.25">
      <c r="F1164" s="35">
        <v>1158</v>
      </c>
      <c r="L1164" s="33" t="str">
        <f t="shared" si="133"/>
        <v/>
      </c>
      <c r="M1164" t="str">
        <f t="shared" si="134"/>
        <v/>
      </c>
      <c r="N1164" s="33" t="str">
        <f t="shared" si="135"/>
        <v/>
      </c>
      <c r="O1164" s="33" t="str">
        <f t="shared" si="136"/>
        <v/>
      </c>
      <c r="P1164" t="str">
        <f t="shared" si="137"/>
        <v/>
      </c>
      <c r="Q1164" s="33" t="str">
        <f t="shared" si="138"/>
        <v/>
      </c>
      <c r="R1164" s="39" t="str">
        <f t="shared" si="139"/>
        <v/>
      </c>
    </row>
    <row r="1165" spans="6:18" x14ac:dyDescent="0.25">
      <c r="F1165" s="35">
        <v>1159</v>
      </c>
      <c r="L1165" s="33" t="str">
        <f t="shared" si="133"/>
        <v/>
      </c>
      <c r="M1165" t="str">
        <f t="shared" si="134"/>
        <v/>
      </c>
      <c r="N1165" s="33" t="str">
        <f t="shared" si="135"/>
        <v/>
      </c>
      <c r="O1165" s="33" t="str">
        <f t="shared" si="136"/>
        <v/>
      </c>
      <c r="P1165" t="str">
        <f t="shared" si="137"/>
        <v/>
      </c>
      <c r="Q1165" s="33" t="str">
        <f t="shared" si="138"/>
        <v/>
      </c>
      <c r="R1165" s="39" t="str">
        <f t="shared" si="139"/>
        <v/>
      </c>
    </row>
    <row r="1166" spans="6:18" x14ac:dyDescent="0.25">
      <c r="F1166" s="35">
        <v>1160</v>
      </c>
      <c r="L1166" s="33" t="str">
        <f t="shared" si="133"/>
        <v/>
      </c>
      <c r="M1166" t="str">
        <f t="shared" si="134"/>
        <v/>
      </c>
      <c r="N1166" s="33" t="str">
        <f t="shared" si="135"/>
        <v/>
      </c>
      <c r="O1166" s="33" t="str">
        <f t="shared" si="136"/>
        <v/>
      </c>
      <c r="P1166" t="str">
        <f t="shared" si="137"/>
        <v/>
      </c>
      <c r="Q1166" s="33" t="str">
        <f t="shared" si="138"/>
        <v/>
      </c>
      <c r="R1166" s="39" t="str">
        <f t="shared" si="139"/>
        <v/>
      </c>
    </row>
    <row r="1167" spans="6:18" x14ac:dyDescent="0.25">
      <c r="F1167" s="35">
        <v>1161</v>
      </c>
      <c r="L1167" s="33" t="str">
        <f t="shared" si="133"/>
        <v/>
      </c>
      <c r="M1167" t="str">
        <f t="shared" si="134"/>
        <v/>
      </c>
      <c r="N1167" s="33" t="str">
        <f t="shared" si="135"/>
        <v/>
      </c>
      <c r="O1167" s="33" t="str">
        <f t="shared" si="136"/>
        <v/>
      </c>
      <c r="P1167" t="str">
        <f t="shared" si="137"/>
        <v/>
      </c>
      <c r="Q1167" s="33" t="str">
        <f t="shared" si="138"/>
        <v/>
      </c>
      <c r="R1167" s="39" t="str">
        <f t="shared" si="139"/>
        <v/>
      </c>
    </row>
    <row r="1168" spans="6:18" x14ac:dyDescent="0.25">
      <c r="F1168" s="35">
        <v>1162</v>
      </c>
      <c r="L1168" s="33" t="str">
        <f t="shared" si="133"/>
        <v/>
      </c>
      <c r="M1168" t="str">
        <f t="shared" si="134"/>
        <v/>
      </c>
      <c r="N1168" s="33" t="str">
        <f t="shared" si="135"/>
        <v/>
      </c>
      <c r="O1168" s="33" t="str">
        <f t="shared" si="136"/>
        <v/>
      </c>
      <c r="P1168" t="str">
        <f t="shared" si="137"/>
        <v/>
      </c>
      <c r="Q1168" s="33" t="str">
        <f t="shared" si="138"/>
        <v/>
      </c>
      <c r="R1168" s="39" t="str">
        <f t="shared" si="139"/>
        <v/>
      </c>
    </row>
    <row r="1169" spans="6:18" x14ac:dyDescent="0.25">
      <c r="F1169" s="35">
        <v>1163</v>
      </c>
      <c r="L1169" s="33" t="str">
        <f t="shared" si="133"/>
        <v/>
      </c>
      <c r="M1169" t="str">
        <f t="shared" si="134"/>
        <v/>
      </c>
      <c r="N1169" s="33" t="str">
        <f t="shared" si="135"/>
        <v/>
      </c>
      <c r="O1169" s="33" t="str">
        <f t="shared" si="136"/>
        <v/>
      </c>
      <c r="P1169" t="str">
        <f t="shared" si="137"/>
        <v/>
      </c>
      <c r="Q1169" s="33" t="str">
        <f t="shared" si="138"/>
        <v/>
      </c>
      <c r="R1169" s="39" t="str">
        <f t="shared" si="139"/>
        <v/>
      </c>
    </row>
    <row r="1170" spans="6:18" x14ac:dyDescent="0.25">
      <c r="F1170" s="35">
        <v>1164</v>
      </c>
      <c r="L1170" s="33" t="str">
        <f t="shared" si="133"/>
        <v/>
      </c>
      <c r="M1170" t="str">
        <f t="shared" si="134"/>
        <v/>
      </c>
      <c r="N1170" s="33" t="str">
        <f t="shared" si="135"/>
        <v/>
      </c>
      <c r="O1170" s="33" t="str">
        <f t="shared" si="136"/>
        <v/>
      </c>
      <c r="P1170" t="str">
        <f t="shared" si="137"/>
        <v/>
      </c>
      <c r="Q1170" s="33" t="str">
        <f t="shared" si="138"/>
        <v/>
      </c>
      <c r="R1170" s="39" t="str">
        <f t="shared" si="139"/>
        <v/>
      </c>
    </row>
    <row r="1171" spans="6:18" x14ac:dyDescent="0.25">
      <c r="F1171" s="35">
        <v>1165</v>
      </c>
      <c r="L1171" s="33" t="str">
        <f t="shared" si="133"/>
        <v/>
      </c>
      <c r="M1171" t="str">
        <f t="shared" si="134"/>
        <v/>
      </c>
      <c r="N1171" s="33" t="str">
        <f t="shared" si="135"/>
        <v/>
      </c>
      <c r="O1171" s="33" t="str">
        <f t="shared" si="136"/>
        <v/>
      </c>
      <c r="P1171" t="str">
        <f t="shared" si="137"/>
        <v/>
      </c>
      <c r="Q1171" s="33" t="str">
        <f t="shared" si="138"/>
        <v/>
      </c>
      <c r="R1171" s="39" t="str">
        <f t="shared" si="139"/>
        <v/>
      </c>
    </row>
    <row r="1172" spans="6:18" x14ac:dyDescent="0.25">
      <c r="F1172" s="35">
        <v>1166</v>
      </c>
      <c r="L1172" s="33" t="str">
        <f t="shared" si="133"/>
        <v/>
      </c>
      <c r="M1172" t="str">
        <f t="shared" si="134"/>
        <v/>
      </c>
      <c r="N1172" s="33" t="str">
        <f t="shared" si="135"/>
        <v/>
      </c>
      <c r="O1172" s="33" t="str">
        <f t="shared" si="136"/>
        <v/>
      </c>
      <c r="P1172" t="str">
        <f t="shared" si="137"/>
        <v/>
      </c>
      <c r="Q1172" s="33" t="str">
        <f t="shared" si="138"/>
        <v/>
      </c>
      <c r="R1172" s="39" t="str">
        <f t="shared" si="139"/>
        <v/>
      </c>
    </row>
    <row r="1173" spans="6:18" x14ac:dyDescent="0.25">
      <c r="F1173" s="35">
        <v>1167</v>
      </c>
      <c r="L1173" s="33" t="str">
        <f t="shared" si="133"/>
        <v/>
      </c>
      <c r="M1173" t="str">
        <f t="shared" si="134"/>
        <v/>
      </c>
      <c r="N1173" s="33" t="str">
        <f t="shared" si="135"/>
        <v/>
      </c>
      <c r="O1173" s="33" t="str">
        <f t="shared" si="136"/>
        <v/>
      </c>
      <c r="P1173" t="str">
        <f t="shared" si="137"/>
        <v/>
      </c>
      <c r="Q1173" s="33" t="str">
        <f t="shared" si="138"/>
        <v/>
      </c>
      <c r="R1173" s="39" t="str">
        <f t="shared" si="139"/>
        <v/>
      </c>
    </row>
    <row r="1174" spans="6:18" x14ac:dyDescent="0.25">
      <c r="F1174" s="35">
        <v>1168</v>
      </c>
      <c r="L1174" s="33" t="str">
        <f t="shared" si="133"/>
        <v/>
      </c>
      <c r="M1174" t="str">
        <f t="shared" si="134"/>
        <v/>
      </c>
      <c r="N1174" s="33" t="str">
        <f t="shared" si="135"/>
        <v/>
      </c>
      <c r="O1174" s="33" t="str">
        <f t="shared" si="136"/>
        <v/>
      </c>
      <c r="P1174" t="str">
        <f t="shared" si="137"/>
        <v/>
      </c>
      <c r="Q1174" s="33" t="str">
        <f t="shared" si="138"/>
        <v/>
      </c>
      <c r="R1174" s="39" t="str">
        <f t="shared" si="139"/>
        <v/>
      </c>
    </row>
    <row r="1175" spans="6:18" x14ac:dyDescent="0.25">
      <c r="F1175" s="35">
        <v>1169</v>
      </c>
      <c r="L1175" s="33" t="str">
        <f t="shared" si="133"/>
        <v/>
      </c>
      <c r="M1175" t="str">
        <f t="shared" si="134"/>
        <v/>
      </c>
      <c r="N1175" s="33" t="str">
        <f t="shared" si="135"/>
        <v/>
      </c>
      <c r="O1175" s="33" t="str">
        <f t="shared" si="136"/>
        <v/>
      </c>
      <c r="P1175" t="str">
        <f t="shared" si="137"/>
        <v/>
      </c>
      <c r="Q1175" s="33" t="str">
        <f t="shared" si="138"/>
        <v/>
      </c>
      <c r="R1175" s="39" t="str">
        <f t="shared" si="139"/>
        <v/>
      </c>
    </row>
    <row r="1176" spans="6:18" x14ac:dyDescent="0.25">
      <c r="F1176" s="35">
        <v>1170</v>
      </c>
      <c r="L1176" s="33" t="str">
        <f t="shared" si="133"/>
        <v/>
      </c>
      <c r="M1176" t="str">
        <f t="shared" si="134"/>
        <v/>
      </c>
      <c r="N1176" s="33" t="str">
        <f t="shared" si="135"/>
        <v/>
      </c>
      <c r="O1176" s="33" t="str">
        <f t="shared" si="136"/>
        <v/>
      </c>
      <c r="P1176" t="str">
        <f t="shared" si="137"/>
        <v/>
      </c>
      <c r="Q1176" s="33" t="str">
        <f t="shared" si="138"/>
        <v/>
      </c>
      <c r="R1176" s="39" t="str">
        <f t="shared" si="139"/>
        <v/>
      </c>
    </row>
    <row r="1177" spans="6:18" x14ac:dyDescent="0.25">
      <c r="F1177" s="35">
        <v>1171</v>
      </c>
      <c r="L1177" s="33" t="str">
        <f t="shared" si="133"/>
        <v/>
      </c>
      <c r="M1177" t="str">
        <f t="shared" si="134"/>
        <v/>
      </c>
      <c r="N1177" s="33" t="str">
        <f t="shared" si="135"/>
        <v/>
      </c>
      <c r="O1177" s="33" t="str">
        <f t="shared" si="136"/>
        <v/>
      </c>
      <c r="P1177" t="str">
        <f t="shared" si="137"/>
        <v/>
      </c>
      <c r="Q1177" s="33" t="str">
        <f t="shared" si="138"/>
        <v/>
      </c>
      <c r="R1177" s="39" t="str">
        <f t="shared" si="139"/>
        <v/>
      </c>
    </row>
    <row r="1178" spans="6:18" x14ac:dyDescent="0.25">
      <c r="F1178" s="35">
        <v>1172</v>
      </c>
      <c r="L1178" s="33" t="str">
        <f t="shared" si="133"/>
        <v/>
      </c>
      <c r="M1178" t="str">
        <f t="shared" si="134"/>
        <v/>
      </c>
      <c r="N1178" s="33" t="str">
        <f t="shared" si="135"/>
        <v/>
      </c>
      <c r="O1178" s="33" t="str">
        <f t="shared" si="136"/>
        <v/>
      </c>
      <c r="P1178" t="str">
        <f t="shared" si="137"/>
        <v/>
      </c>
      <c r="Q1178" s="33" t="str">
        <f t="shared" si="138"/>
        <v/>
      </c>
      <c r="R1178" s="39" t="str">
        <f t="shared" si="139"/>
        <v/>
      </c>
    </row>
    <row r="1179" spans="6:18" x14ac:dyDescent="0.25">
      <c r="F1179" s="35">
        <v>1173</v>
      </c>
      <c r="L1179" s="33" t="str">
        <f t="shared" si="133"/>
        <v/>
      </c>
      <c r="M1179" t="str">
        <f t="shared" si="134"/>
        <v/>
      </c>
      <c r="N1179" s="33" t="str">
        <f t="shared" si="135"/>
        <v/>
      </c>
      <c r="O1179" s="33" t="str">
        <f t="shared" si="136"/>
        <v/>
      </c>
      <c r="P1179" t="str">
        <f t="shared" si="137"/>
        <v/>
      </c>
      <c r="Q1179" s="33" t="str">
        <f t="shared" si="138"/>
        <v/>
      </c>
      <c r="R1179" s="39" t="str">
        <f t="shared" si="139"/>
        <v/>
      </c>
    </row>
    <row r="1180" spans="6:18" x14ac:dyDescent="0.25">
      <c r="F1180" s="35">
        <v>1174</v>
      </c>
      <c r="L1180" s="33" t="str">
        <f t="shared" si="133"/>
        <v/>
      </c>
      <c r="M1180" t="str">
        <f t="shared" si="134"/>
        <v/>
      </c>
      <c r="N1180" s="33" t="str">
        <f t="shared" si="135"/>
        <v/>
      </c>
      <c r="O1180" s="33" t="str">
        <f t="shared" si="136"/>
        <v/>
      </c>
      <c r="P1180" t="str">
        <f t="shared" si="137"/>
        <v/>
      </c>
      <c r="Q1180" s="33" t="str">
        <f t="shared" si="138"/>
        <v/>
      </c>
      <c r="R1180" s="39" t="str">
        <f t="shared" si="139"/>
        <v/>
      </c>
    </row>
    <row r="1181" spans="6:18" x14ac:dyDescent="0.25">
      <c r="F1181" s="35">
        <v>1175</v>
      </c>
      <c r="L1181" s="33" t="str">
        <f t="shared" si="133"/>
        <v/>
      </c>
      <c r="M1181" t="str">
        <f t="shared" si="134"/>
        <v/>
      </c>
      <c r="N1181" s="33" t="str">
        <f t="shared" si="135"/>
        <v/>
      </c>
      <c r="O1181" s="33" t="str">
        <f t="shared" si="136"/>
        <v/>
      </c>
      <c r="P1181" t="str">
        <f t="shared" si="137"/>
        <v/>
      </c>
      <c r="Q1181" s="33" t="str">
        <f t="shared" si="138"/>
        <v/>
      </c>
      <c r="R1181" s="39" t="str">
        <f t="shared" si="139"/>
        <v/>
      </c>
    </row>
    <row r="1182" spans="6:18" x14ac:dyDescent="0.25">
      <c r="F1182" s="35">
        <v>1176</v>
      </c>
      <c r="L1182" s="33" t="str">
        <f t="shared" si="133"/>
        <v/>
      </c>
      <c r="M1182" t="str">
        <f t="shared" si="134"/>
        <v/>
      </c>
      <c r="N1182" s="33" t="str">
        <f t="shared" si="135"/>
        <v/>
      </c>
      <c r="O1182" s="33" t="str">
        <f t="shared" si="136"/>
        <v/>
      </c>
      <c r="P1182" t="str">
        <f t="shared" si="137"/>
        <v/>
      </c>
      <c r="Q1182" s="33" t="str">
        <f t="shared" si="138"/>
        <v/>
      </c>
      <c r="R1182" s="39" t="str">
        <f t="shared" si="139"/>
        <v/>
      </c>
    </row>
    <row r="1183" spans="6:18" x14ac:dyDescent="0.25">
      <c r="F1183" s="35">
        <v>1177</v>
      </c>
      <c r="L1183" s="33" t="str">
        <f t="shared" si="133"/>
        <v/>
      </c>
      <c r="M1183" t="str">
        <f t="shared" si="134"/>
        <v/>
      </c>
      <c r="N1183" s="33" t="str">
        <f t="shared" si="135"/>
        <v/>
      </c>
      <c r="O1183" s="33" t="str">
        <f t="shared" si="136"/>
        <v/>
      </c>
      <c r="P1183" t="str">
        <f t="shared" si="137"/>
        <v/>
      </c>
      <c r="Q1183" s="33" t="str">
        <f t="shared" si="138"/>
        <v/>
      </c>
      <c r="R1183" s="39" t="str">
        <f t="shared" si="139"/>
        <v/>
      </c>
    </row>
    <row r="1184" spans="6:18" x14ac:dyDescent="0.25">
      <c r="F1184" s="35">
        <v>1178</v>
      </c>
      <c r="L1184" s="33" t="str">
        <f t="shared" si="133"/>
        <v/>
      </c>
      <c r="M1184" t="str">
        <f t="shared" si="134"/>
        <v/>
      </c>
      <c r="N1184" s="33" t="str">
        <f t="shared" si="135"/>
        <v/>
      </c>
      <c r="O1184" s="33" t="str">
        <f t="shared" si="136"/>
        <v/>
      </c>
      <c r="P1184" t="str">
        <f t="shared" si="137"/>
        <v/>
      </c>
      <c r="Q1184" s="33" t="str">
        <f t="shared" si="138"/>
        <v/>
      </c>
      <c r="R1184" s="39" t="str">
        <f t="shared" si="139"/>
        <v/>
      </c>
    </row>
    <row r="1185" spans="6:18" x14ac:dyDescent="0.25">
      <c r="F1185" s="35">
        <v>1179</v>
      </c>
      <c r="L1185" s="33" t="str">
        <f t="shared" si="133"/>
        <v/>
      </c>
      <c r="M1185" t="str">
        <f t="shared" si="134"/>
        <v/>
      </c>
      <c r="N1185" s="33" t="str">
        <f t="shared" si="135"/>
        <v/>
      </c>
      <c r="O1185" s="33" t="str">
        <f t="shared" si="136"/>
        <v/>
      </c>
      <c r="P1185" t="str">
        <f t="shared" si="137"/>
        <v/>
      </c>
      <c r="Q1185" s="33" t="str">
        <f t="shared" si="138"/>
        <v/>
      </c>
      <c r="R1185" s="39" t="str">
        <f t="shared" si="139"/>
        <v/>
      </c>
    </row>
    <row r="1186" spans="6:18" x14ac:dyDescent="0.25">
      <c r="F1186" s="35">
        <v>1180</v>
      </c>
      <c r="L1186" s="33" t="str">
        <f t="shared" si="133"/>
        <v/>
      </c>
      <c r="M1186" t="str">
        <f t="shared" si="134"/>
        <v/>
      </c>
      <c r="N1186" s="33" t="str">
        <f t="shared" si="135"/>
        <v/>
      </c>
      <c r="O1186" s="33" t="str">
        <f t="shared" si="136"/>
        <v/>
      </c>
      <c r="P1186" t="str">
        <f t="shared" si="137"/>
        <v/>
      </c>
      <c r="Q1186" s="33" t="str">
        <f t="shared" si="138"/>
        <v/>
      </c>
      <c r="R1186" s="39" t="str">
        <f t="shared" si="139"/>
        <v/>
      </c>
    </row>
    <row r="1187" spans="6:18" x14ac:dyDescent="0.25">
      <c r="F1187" s="35">
        <v>1181</v>
      </c>
      <c r="L1187" s="33" t="str">
        <f t="shared" si="133"/>
        <v/>
      </c>
      <c r="M1187" t="str">
        <f t="shared" si="134"/>
        <v/>
      </c>
      <c r="N1187" s="33" t="str">
        <f t="shared" si="135"/>
        <v/>
      </c>
      <c r="O1187" s="33" t="str">
        <f t="shared" si="136"/>
        <v/>
      </c>
      <c r="P1187" t="str">
        <f t="shared" si="137"/>
        <v/>
      </c>
      <c r="Q1187" s="33" t="str">
        <f t="shared" si="138"/>
        <v/>
      </c>
      <c r="R1187" s="39" t="str">
        <f t="shared" si="139"/>
        <v/>
      </c>
    </row>
    <row r="1188" spans="6:18" x14ac:dyDescent="0.25">
      <c r="F1188" s="35">
        <v>1182</v>
      </c>
      <c r="L1188" s="33" t="str">
        <f t="shared" si="133"/>
        <v/>
      </c>
      <c r="M1188" t="str">
        <f t="shared" si="134"/>
        <v/>
      </c>
      <c r="N1188" s="33" t="str">
        <f t="shared" si="135"/>
        <v/>
      </c>
      <c r="O1188" s="33" t="str">
        <f t="shared" si="136"/>
        <v/>
      </c>
      <c r="P1188" t="str">
        <f t="shared" si="137"/>
        <v/>
      </c>
      <c r="Q1188" s="33" t="str">
        <f t="shared" si="138"/>
        <v/>
      </c>
      <c r="R1188" s="39" t="str">
        <f t="shared" si="139"/>
        <v/>
      </c>
    </row>
    <row r="1189" spans="6:18" x14ac:dyDescent="0.25">
      <c r="F1189" s="35">
        <v>1183</v>
      </c>
      <c r="L1189" s="33" t="str">
        <f t="shared" si="133"/>
        <v/>
      </c>
      <c r="M1189" t="str">
        <f t="shared" si="134"/>
        <v/>
      </c>
      <c r="N1189" s="33" t="str">
        <f t="shared" si="135"/>
        <v/>
      </c>
      <c r="O1189" s="33" t="str">
        <f t="shared" si="136"/>
        <v/>
      </c>
      <c r="P1189" t="str">
        <f t="shared" si="137"/>
        <v/>
      </c>
      <c r="Q1189" s="33" t="str">
        <f t="shared" si="138"/>
        <v/>
      </c>
      <c r="R1189" s="39" t="str">
        <f t="shared" si="139"/>
        <v/>
      </c>
    </row>
    <row r="1190" spans="6:18" x14ac:dyDescent="0.25">
      <c r="F1190" s="35">
        <v>1184</v>
      </c>
      <c r="L1190" s="33" t="str">
        <f t="shared" si="133"/>
        <v/>
      </c>
      <c r="M1190" t="str">
        <f t="shared" si="134"/>
        <v/>
      </c>
      <c r="N1190" s="33" t="str">
        <f t="shared" si="135"/>
        <v/>
      </c>
      <c r="O1190" s="33" t="str">
        <f t="shared" si="136"/>
        <v/>
      </c>
      <c r="P1190" t="str">
        <f t="shared" si="137"/>
        <v/>
      </c>
      <c r="Q1190" s="33" t="str">
        <f t="shared" si="138"/>
        <v/>
      </c>
      <c r="R1190" s="39" t="str">
        <f t="shared" si="139"/>
        <v/>
      </c>
    </row>
    <row r="1191" spans="6:18" x14ac:dyDescent="0.25">
      <c r="F1191" s="35">
        <v>1185</v>
      </c>
      <c r="L1191" s="33" t="str">
        <f t="shared" si="133"/>
        <v/>
      </c>
      <c r="M1191" t="str">
        <f t="shared" si="134"/>
        <v/>
      </c>
      <c r="N1191" s="33" t="str">
        <f t="shared" si="135"/>
        <v/>
      </c>
      <c r="O1191" s="33" t="str">
        <f t="shared" si="136"/>
        <v/>
      </c>
      <c r="P1191" t="str">
        <f t="shared" si="137"/>
        <v/>
      </c>
      <c r="Q1191" s="33" t="str">
        <f t="shared" si="138"/>
        <v/>
      </c>
      <c r="R1191" s="39" t="str">
        <f t="shared" si="139"/>
        <v/>
      </c>
    </row>
    <row r="1192" spans="6:18" x14ac:dyDescent="0.25">
      <c r="F1192" s="35">
        <v>1186</v>
      </c>
      <c r="L1192" s="33" t="str">
        <f t="shared" si="133"/>
        <v/>
      </c>
      <c r="M1192" t="str">
        <f t="shared" si="134"/>
        <v/>
      </c>
      <c r="N1192" s="33" t="str">
        <f t="shared" si="135"/>
        <v/>
      </c>
      <c r="O1192" s="33" t="str">
        <f t="shared" si="136"/>
        <v/>
      </c>
      <c r="P1192" t="str">
        <f t="shared" si="137"/>
        <v/>
      </c>
      <c r="Q1192" s="33" t="str">
        <f t="shared" si="138"/>
        <v/>
      </c>
      <c r="R1192" s="39" t="str">
        <f t="shared" si="139"/>
        <v/>
      </c>
    </row>
    <row r="1193" spans="6:18" x14ac:dyDescent="0.25">
      <c r="F1193" s="35">
        <v>1187</v>
      </c>
      <c r="L1193" s="33" t="str">
        <f t="shared" si="133"/>
        <v/>
      </c>
      <c r="M1193" t="str">
        <f t="shared" si="134"/>
        <v/>
      </c>
      <c r="N1193" s="33" t="str">
        <f t="shared" si="135"/>
        <v/>
      </c>
      <c r="O1193" s="33" t="str">
        <f t="shared" si="136"/>
        <v/>
      </c>
      <c r="P1193" t="str">
        <f t="shared" si="137"/>
        <v/>
      </c>
      <c r="Q1193" s="33" t="str">
        <f t="shared" si="138"/>
        <v/>
      </c>
      <c r="R1193" s="39" t="str">
        <f t="shared" si="139"/>
        <v/>
      </c>
    </row>
    <row r="1194" spans="6:18" x14ac:dyDescent="0.25">
      <c r="F1194" s="35">
        <v>1188</v>
      </c>
      <c r="L1194" s="33" t="str">
        <f t="shared" si="133"/>
        <v/>
      </c>
      <c r="M1194" t="str">
        <f t="shared" si="134"/>
        <v/>
      </c>
      <c r="N1194" s="33" t="str">
        <f t="shared" si="135"/>
        <v/>
      </c>
      <c r="O1194" s="33" t="str">
        <f t="shared" si="136"/>
        <v/>
      </c>
      <c r="P1194" t="str">
        <f t="shared" si="137"/>
        <v/>
      </c>
      <c r="Q1194" s="33" t="str">
        <f t="shared" si="138"/>
        <v/>
      </c>
      <c r="R1194" s="39" t="str">
        <f t="shared" si="139"/>
        <v/>
      </c>
    </row>
    <row r="1195" spans="6:18" x14ac:dyDescent="0.25">
      <c r="F1195" s="35">
        <v>1189</v>
      </c>
      <c r="L1195" s="33" t="str">
        <f t="shared" si="133"/>
        <v/>
      </c>
      <c r="M1195" t="str">
        <f t="shared" si="134"/>
        <v/>
      </c>
      <c r="N1195" s="33" t="str">
        <f t="shared" si="135"/>
        <v/>
      </c>
      <c r="O1195" s="33" t="str">
        <f t="shared" si="136"/>
        <v/>
      </c>
      <c r="P1195" t="str">
        <f t="shared" si="137"/>
        <v/>
      </c>
      <c r="Q1195" s="33" t="str">
        <f t="shared" si="138"/>
        <v/>
      </c>
      <c r="R1195" s="39" t="str">
        <f t="shared" si="139"/>
        <v/>
      </c>
    </row>
    <row r="1196" spans="6:18" x14ac:dyDescent="0.25">
      <c r="F1196" s="35">
        <v>1190</v>
      </c>
      <c r="L1196" s="33" t="str">
        <f t="shared" si="133"/>
        <v/>
      </c>
      <c r="M1196" t="str">
        <f t="shared" si="134"/>
        <v/>
      </c>
      <c r="N1196" s="33" t="str">
        <f t="shared" si="135"/>
        <v/>
      </c>
      <c r="O1196" s="33" t="str">
        <f t="shared" si="136"/>
        <v/>
      </c>
      <c r="P1196" t="str">
        <f t="shared" si="137"/>
        <v/>
      </c>
      <c r="Q1196" s="33" t="str">
        <f t="shared" si="138"/>
        <v/>
      </c>
      <c r="R1196" s="39" t="str">
        <f t="shared" si="139"/>
        <v/>
      </c>
    </row>
    <row r="1197" spans="6:18" x14ac:dyDescent="0.25">
      <c r="F1197" s="35">
        <v>1191</v>
      </c>
      <c r="L1197" s="33" t="str">
        <f t="shared" si="133"/>
        <v/>
      </c>
      <c r="M1197" t="str">
        <f t="shared" si="134"/>
        <v/>
      </c>
      <c r="N1197" s="33" t="str">
        <f t="shared" si="135"/>
        <v/>
      </c>
      <c r="O1197" s="33" t="str">
        <f t="shared" si="136"/>
        <v/>
      </c>
      <c r="P1197" t="str">
        <f t="shared" si="137"/>
        <v/>
      </c>
      <c r="Q1197" s="33" t="str">
        <f t="shared" si="138"/>
        <v/>
      </c>
      <c r="R1197" s="39" t="str">
        <f t="shared" si="139"/>
        <v/>
      </c>
    </row>
    <row r="1198" spans="6:18" x14ac:dyDescent="0.25">
      <c r="F1198" s="35">
        <v>1192</v>
      </c>
      <c r="L1198" s="33" t="str">
        <f t="shared" si="133"/>
        <v/>
      </c>
      <c r="M1198" t="str">
        <f t="shared" si="134"/>
        <v/>
      </c>
      <c r="N1198" s="33" t="str">
        <f t="shared" si="135"/>
        <v/>
      </c>
      <c r="O1198" s="33" t="str">
        <f t="shared" si="136"/>
        <v/>
      </c>
      <c r="P1198" t="str">
        <f t="shared" si="137"/>
        <v/>
      </c>
      <c r="Q1198" s="33" t="str">
        <f t="shared" si="138"/>
        <v/>
      </c>
      <c r="R1198" s="39" t="str">
        <f t="shared" si="139"/>
        <v/>
      </c>
    </row>
    <row r="1199" spans="6:18" x14ac:dyDescent="0.25">
      <c r="F1199" s="35">
        <v>1193</v>
      </c>
      <c r="L1199" s="33" t="str">
        <f t="shared" si="133"/>
        <v/>
      </c>
      <c r="M1199" t="str">
        <f t="shared" si="134"/>
        <v/>
      </c>
      <c r="N1199" s="33" t="str">
        <f t="shared" si="135"/>
        <v/>
      </c>
      <c r="O1199" s="33" t="str">
        <f t="shared" si="136"/>
        <v/>
      </c>
      <c r="P1199" t="str">
        <f t="shared" si="137"/>
        <v/>
      </c>
      <c r="Q1199" s="33" t="str">
        <f t="shared" si="138"/>
        <v/>
      </c>
      <c r="R1199" s="39" t="str">
        <f t="shared" si="139"/>
        <v/>
      </c>
    </row>
    <row r="1200" spans="6:18" x14ac:dyDescent="0.25">
      <c r="F1200" s="35">
        <v>1194</v>
      </c>
      <c r="L1200" s="33" t="str">
        <f t="shared" si="133"/>
        <v/>
      </c>
      <c r="M1200" t="str">
        <f t="shared" si="134"/>
        <v/>
      </c>
      <c r="N1200" s="33" t="str">
        <f t="shared" si="135"/>
        <v/>
      </c>
      <c r="O1200" s="33" t="str">
        <f t="shared" si="136"/>
        <v/>
      </c>
      <c r="P1200" t="str">
        <f t="shared" si="137"/>
        <v/>
      </c>
      <c r="Q1200" s="33" t="str">
        <f t="shared" si="138"/>
        <v/>
      </c>
      <c r="R1200" s="39" t="str">
        <f t="shared" si="139"/>
        <v/>
      </c>
    </row>
    <row r="1201" spans="6:18" x14ac:dyDescent="0.25">
      <c r="F1201" s="35">
        <v>1195</v>
      </c>
      <c r="L1201" s="33" t="str">
        <f t="shared" si="133"/>
        <v/>
      </c>
      <c r="M1201" t="str">
        <f t="shared" si="134"/>
        <v/>
      </c>
      <c r="N1201" s="33" t="str">
        <f t="shared" si="135"/>
        <v/>
      </c>
      <c r="O1201" s="33" t="str">
        <f t="shared" si="136"/>
        <v/>
      </c>
      <c r="P1201" t="str">
        <f t="shared" si="137"/>
        <v/>
      </c>
      <c r="Q1201" s="33" t="str">
        <f t="shared" si="138"/>
        <v/>
      </c>
      <c r="R1201" s="39" t="str">
        <f t="shared" si="139"/>
        <v/>
      </c>
    </row>
    <row r="1202" spans="6:18" x14ac:dyDescent="0.25">
      <c r="F1202" s="35">
        <v>1196</v>
      </c>
      <c r="L1202" s="33" t="str">
        <f t="shared" si="133"/>
        <v/>
      </c>
      <c r="M1202" t="str">
        <f t="shared" si="134"/>
        <v/>
      </c>
      <c r="N1202" s="33" t="str">
        <f t="shared" si="135"/>
        <v/>
      </c>
      <c r="O1202" s="33" t="str">
        <f t="shared" si="136"/>
        <v/>
      </c>
      <c r="P1202" t="str">
        <f t="shared" si="137"/>
        <v/>
      </c>
      <c r="Q1202" s="33" t="str">
        <f t="shared" si="138"/>
        <v/>
      </c>
      <c r="R1202" s="39" t="str">
        <f t="shared" si="139"/>
        <v/>
      </c>
    </row>
    <row r="1203" spans="6:18" x14ac:dyDescent="0.25">
      <c r="F1203" s="35">
        <v>1197</v>
      </c>
      <c r="L1203" s="33" t="str">
        <f t="shared" si="133"/>
        <v/>
      </c>
      <c r="M1203" t="str">
        <f t="shared" si="134"/>
        <v/>
      </c>
      <c r="N1203" s="33" t="str">
        <f t="shared" si="135"/>
        <v/>
      </c>
      <c r="O1203" s="33" t="str">
        <f t="shared" si="136"/>
        <v/>
      </c>
      <c r="P1203" t="str">
        <f t="shared" si="137"/>
        <v/>
      </c>
      <c r="Q1203" s="33" t="str">
        <f t="shared" si="138"/>
        <v/>
      </c>
      <c r="R1203" s="39" t="str">
        <f t="shared" si="139"/>
        <v/>
      </c>
    </row>
    <row r="1204" spans="6:18" x14ac:dyDescent="0.25">
      <c r="F1204" s="35">
        <v>1198</v>
      </c>
      <c r="L1204" s="33" t="str">
        <f t="shared" si="133"/>
        <v/>
      </c>
      <c r="M1204" t="str">
        <f t="shared" si="134"/>
        <v/>
      </c>
      <c r="N1204" s="33" t="str">
        <f t="shared" si="135"/>
        <v/>
      </c>
      <c r="O1204" s="33" t="str">
        <f t="shared" si="136"/>
        <v/>
      </c>
      <c r="P1204" t="str">
        <f t="shared" si="137"/>
        <v/>
      </c>
      <c r="Q1204" s="33" t="str">
        <f t="shared" si="138"/>
        <v/>
      </c>
      <c r="R1204" s="39" t="str">
        <f t="shared" si="139"/>
        <v/>
      </c>
    </row>
    <row r="1205" spans="6:18" x14ac:dyDescent="0.25">
      <c r="F1205" s="35">
        <v>1199</v>
      </c>
      <c r="L1205" s="33" t="str">
        <f t="shared" si="133"/>
        <v/>
      </c>
      <c r="M1205" t="str">
        <f t="shared" si="134"/>
        <v/>
      </c>
      <c r="N1205" s="33" t="str">
        <f t="shared" si="135"/>
        <v/>
      </c>
      <c r="O1205" s="33" t="str">
        <f t="shared" si="136"/>
        <v/>
      </c>
      <c r="P1205" t="str">
        <f t="shared" si="137"/>
        <v/>
      </c>
      <c r="Q1205" s="33" t="str">
        <f t="shared" si="138"/>
        <v/>
      </c>
      <c r="R1205" s="39" t="str">
        <f t="shared" si="139"/>
        <v/>
      </c>
    </row>
    <row r="1206" spans="6:18" x14ac:dyDescent="0.25">
      <c r="F1206" s="35">
        <v>1200</v>
      </c>
      <c r="L1206" s="33" t="str">
        <f t="shared" si="133"/>
        <v/>
      </c>
      <c r="M1206" t="str">
        <f t="shared" si="134"/>
        <v/>
      </c>
      <c r="N1206" s="33" t="str">
        <f t="shared" si="135"/>
        <v/>
      </c>
      <c r="O1206" s="33" t="str">
        <f t="shared" si="136"/>
        <v/>
      </c>
      <c r="P1206" t="str">
        <f t="shared" si="137"/>
        <v/>
      </c>
      <c r="Q1206" s="33" t="str">
        <f t="shared" si="138"/>
        <v/>
      </c>
      <c r="R1206" s="39" t="str">
        <f t="shared" si="139"/>
        <v/>
      </c>
    </row>
    <row r="1207" spans="6:18" x14ac:dyDescent="0.25">
      <c r="F1207" s="35">
        <v>1201</v>
      </c>
      <c r="L1207" s="33" t="str">
        <f t="shared" si="133"/>
        <v/>
      </c>
      <c r="M1207" t="str">
        <f t="shared" si="134"/>
        <v/>
      </c>
      <c r="N1207" s="33" t="str">
        <f t="shared" si="135"/>
        <v/>
      </c>
      <c r="O1207" s="33" t="str">
        <f t="shared" si="136"/>
        <v/>
      </c>
      <c r="P1207" t="str">
        <f t="shared" si="137"/>
        <v/>
      </c>
      <c r="Q1207" s="33" t="str">
        <f t="shared" si="138"/>
        <v/>
      </c>
      <c r="R1207" s="39" t="str">
        <f t="shared" si="139"/>
        <v/>
      </c>
    </row>
    <row r="1208" spans="6:18" x14ac:dyDescent="0.25">
      <c r="F1208" s="35">
        <v>1202</v>
      </c>
      <c r="L1208" s="33" t="str">
        <f t="shared" si="133"/>
        <v/>
      </c>
      <c r="M1208" t="str">
        <f t="shared" si="134"/>
        <v/>
      </c>
      <c r="N1208" s="33" t="str">
        <f t="shared" si="135"/>
        <v/>
      </c>
      <c r="O1208" s="33" t="str">
        <f t="shared" si="136"/>
        <v/>
      </c>
      <c r="P1208" t="str">
        <f t="shared" si="137"/>
        <v/>
      </c>
      <c r="Q1208" s="33" t="str">
        <f t="shared" si="138"/>
        <v/>
      </c>
      <c r="R1208" s="39" t="str">
        <f t="shared" si="139"/>
        <v/>
      </c>
    </row>
    <row r="1209" spans="6:18" x14ac:dyDescent="0.25">
      <c r="F1209" s="35">
        <v>1203</v>
      </c>
      <c r="L1209" s="33" t="str">
        <f t="shared" si="133"/>
        <v/>
      </c>
      <c r="M1209" t="str">
        <f t="shared" si="134"/>
        <v/>
      </c>
      <c r="N1209" s="33" t="str">
        <f t="shared" si="135"/>
        <v/>
      </c>
      <c r="O1209" s="33" t="str">
        <f t="shared" si="136"/>
        <v/>
      </c>
      <c r="P1209" t="str">
        <f t="shared" si="137"/>
        <v/>
      </c>
      <c r="Q1209" s="33" t="str">
        <f t="shared" si="138"/>
        <v/>
      </c>
      <c r="R1209" s="39" t="str">
        <f t="shared" si="139"/>
        <v/>
      </c>
    </row>
    <row r="1210" spans="6:18" x14ac:dyDescent="0.25">
      <c r="F1210" s="35">
        <v>1204</v>
      </c>
      <c r="L1210" s="33" t="str">
        <f t="shared" si="133"/>
        <v/>
      </c>
      <c r="M1210" t="str">
        <f t="shared" si="134"/>
        <v/>
      </c>
      <c r="N1210" s="33" t="str">
        <f t="shared" si="135"/>
        <v/>
      </c>
      <c r="O1210" s="33" t="str">
        <f t="shared" si="136"/>
        <v/>
      </c>
      <c r="P1210" t="str">
        <f t="shared" si="137"/>
        <v/>
      </c>
      <c r="Q1210" s="33" t="str">
        <f t="shared" si="138"/>
        <v/>
      </c>
      <c r="R1210" s="39" t="str">
        <f t="shared" si="139"/>
        <v/>
      </c>
    </row>
    <row r="1211" spans="6:18" x14ac:dyDescent="0.25">
      <c r="F1211" s="35">
        <v>1205</v>
      </c>
      <c r="L1211" s="33" t="str">
        <f t="shared" si="133"/>
        <v/>
      </c>
      <c r="M1211" t="str">
        <f t="shared" si="134"/>
        <v/>
      </c>
      <c r="N1211" s="33" t="str">
        <f t="shared" si="135"/>
        <v/>
      </c>
      <c r="O1211" s="33" t="str">
        <f t="shared" si="136"/>
        <v/>
      </c>
      <c r="P1211" t="str">
        <f t="shared" si="137"/>
        <v/>
      </c>
      <c r="Q1211" s="33" t="str">
        <f t="shared" si="138"/>
        <v/>
      </c>
      <c r="R1211" s="39" t="str">
        <f t="shared" si="139"/>
        <v/>
      </c>
    </row>
    <row r="1212" spans="6:18" x14ac:dyDescent="0.25">
      <c r="F1212" s="35">
        <v>1206</v>
      </c>
      <c r="L1212" s="33" t="str">
        <f t="shared" si="133"/>
        <v/>
      </c>
      <c r="M1212" t="str">
        <f t="shared" si="134"/>
        <v/>
      </c>
      <c r="N1212" s="33" t="str">
        <f t="shared" si="135"/>
        <v/>
      </c>
      <c r="O1212" s="33" t="str">
        <f t="shared" si="136"/>
        <v/>
      </c>
      <c r="P1212" t="str">
        <f t="shared" si="137"/>
        <v/>
      </c>
      <c r="Q1212" s="33" t="str">
        <f t="shared" si="138"/>
        <v/>
      </c>
      <c r="R1212" s="39" t="str">
        <f t="shared" si="139"/>
        <v/>
      </c>
    </row>
    <row r="1213" spans="6:18" x14ac:dyDescent="0.25">
      <c r="F1213" s="35">
        <v>1207</v>
      </c>
      <c r="L1213" s="33" t="str">
        <f t="shared" si="133"/>
        <v/>
      </c>
      <c r="M1213" t="str">
        <f t="shared" si="134"/>
        <v/>
      </c>
      <c r="N1213" s="33" t="str">
        <f t="shared" si="135"/>
        <v/>
      </c>
      <c r="O1213" s="33" t="str">
        <f t="shared" si="136"/>
        <v/>
      </c>
      <c r="P1213" t="str">
        <f t="shared" si="137"/>
        <v/>
      </c>
      <c r="Q1213" s="33" t="str">
        <f t="shared" si="138"/>
        <v/>
      </c>
      <c r="R1213" s="39" t="str">
        <f t="shared" si="139"/>
        <v/>
      </c>
    </row>
    <row r="1214" spans="6:18" x14ac:dyDescent="0.25">
      <c r="F1214" s="35">
        <v>1208</v>
      </c>
      <c r="L1214" s="33" t="str">
        <f t="shared" si="133"/>
        <v/>
      </c>
      <c r="M1214" t="str">
        <f t="shared" si="134"/>
        <v/>
      </c>
      <c r="N1214" s="33" t="str">
        <f t="shared" si="135"/>
        <v/>
      </c>
      <c r="O1214" s="33" t="str">
        <f t="shared" si="136"/>
        <v/>
      </c>
      <c r="P1214" t="str">
        <f t="shared" si="137"/>
        <v/>
      </c>
      <c r="Q1214" s="33" t="str">
        <f t="shared" si="138"/>
        <v/>
      </c>
      <c r="R1214" s="39" t="str">
        <f t="shared" si="139"/>
        <v/>
      </c>
    </row>
    <row r="1215" spans="6:18" x14ac:dyDescent="0.25">
      <c r="F1215" s="35">
        <v>1209</v>
      </c>
      <c r="L1215" s="33" t="str">
        <f t="shared" si="133"/>
        <v/>
      </c>
      <c r="M1215" t="str">
        <f t="shared" si="134"/>
        <v/>
      </c>
      <c r="N1215" s="33" t="str">
        <f t="shared" si="135"/>
        <v/>
      </c>
      <c r="O1215" s="33" t="str">
        <f t="shared" si="136"/>
        <v/>
      </c>
      <c r="P1215" t="str">
        <f t="shared" si="137"/>
        <v/>
      </c>
      <c r="Q1215" s="33" t="str">
        <f t="shared" si="138"/>
        <v/>
      </c>
      <c r="R1215" s="39" t="str">
        <f t="shared" si="139"/>
        <v/>
      </c>
    </row>
    <row r="1216" spans="6:18" x14ac:dyDescent="0.25">
      <c r="F1216" s="35">
        <v>1210</v>
      </c>
      <c r="L1216" s="33" t="str">
        <f t="shared" si="133"/>
        <v/>
      </c>
      <c r="M1216" t="str">
        <f t="shared" si="134"/>
        <v/>
      </c>
      <c r="N1216" s="33" t="str">
        <f t="shared" si="135"/>
        <v/>
      </c>
      <c r="O1216" s="33" t="str">
        <f t="shared" si="136"/>
        <v/>
      </c>
      <c r="P1216" t="str">
        <f t="shared" si="137"/>
        <v/>
      </c>
      <c r="Q1216" s="33" t="str">
        <f t="shared" si="138"/>
        <v/>
      </c>
      <c r="R1216" s="39" t="str">
        <f t="shared" si="139"/>
        <v/>
      </c>
    </row>
    <row r="1217" spans="6:18" x14ac:dyDescent="0.25">
      <c r="F1217" s="35">
        <v>1211</v>
      </c>
      <c r="L1217" s="33" t="str">
        <f t="shared" si="133"/>
        <v/>
      </c>
      <c r="M1217" t="str">
        <f t="shared" si="134"/>
        <v/>
      </c>
      <c r="N1217" s="33" t="str">
        <f t="shared" si="135"/>
        <v/>
      </c>
      <c r="O1217" s="33" t="str">
        <f t="shared" si="136"/>
        <v/>
      </c>
      <c r="P1217" t="str">
        <f t="shared" si="137"/>
        <v/>
      </c>
      <c r="Q1217" s="33" t="str">
        <f t="shared" si="138"/>
        <v/>
      </c>
      <c r="R1217" s="39" t="str">
        <f t="shared" si="139"/>
        <v/>
      </c>
    </row>
    <row r="1218" spans="6:18" x14ac:dyDescent="0.25">
      <c r="F1218" s="35">
        <v>1212</v>
      </c>
      <c r="L1218" s="33" t="str">
        <f t="shared" si="133"/>
        <v/>
      </c>
      <c r="M1218" t="str">
        <f t="shared" si="134"/>
        <v/>
      </c>
      <c r="N1218" s="33" t="str">
        <f t="shared" si="135"/>
        <v/>
      </c>
      <c r="O1218" s="33" t="str">
        <f t="shared" si="136"/>
        <v/>
      </c>
      <c r="P1218" t="str">
        <f t="shared" si="137"/>
        <v/>
      </c>
      <c r="Q1218" s="33" t="str">
        <f t="shared" si="138"/>
        <v/>
      </c>
      <c r="R1218" s="39" t="str">
        <f t="shared" si="139"/>
        <v/>
      </c>
    </row>
    <row r="1219" spans="6:18" x14ac:dyDescent="0.25">
      <c r="F1219" s="35">
        <v>1213</v>
      </c>
      <c r="L1219" s="33" t="str">
        <f t="shared" si="133"/>
        <v/>
      </c>
      <c r="M1219" t="str">
        <f t="shared" si="134"/>
        <v/>
      </c>
      <c r="N1219" s="33" t="str">
        <f t="shared" si="135"/>
        <v/>
      </c>
      <c r="O1219" s="33" t="str">
        <f t="shared" si="136"/>
        <v/>
      </c>
      <c r="P1219" t="str">
        <f t="shared" si="137"/>
        <v/>
      </c>
      <c r="Q1219" s="33" t="str">
        <f t="shared" si="138"/>
        <v/>
      </c>
      <c r="R1219" s="39" t="str">
        <f t="shared" si="139"/>
        <v/>
      </c>
    </row>
    <row r="1220" spans="6:18" x14ac:dyDescent="0.25">
      <c r="F1220" s="35">
        <v>1214</v>
      </c>
      <c r="L1220" s="33" t="str">
        <f t="shared" si="133"/>
        <v/>
      </c>
      <c r="M1220" t="str">
        <f t="shared" si="134"/>
        <v/>
      </c>
      <c r="N1220" s="33" t="str">
        <f t="shared" si="135"/>
        <v/>
      </c>
      <c r="O1220" s="33" t="str">
        <f t="shared" si="136"/>
        <v/>
      </c>
      <c r="P1220" t="str">
        <f t="shared" si="137"/>
        <v/>
      </c>
      <c r="Q1220" s="33" t="str">
        <f t="shared" si="138"/>
        <v/>
      </c>
      <c r="R1220" s="39" t="str">
        <f t="shared" si="139"/>
        <v/>
      </c>
    </row>
    <row r="1221" spans="6:18" x14ac:dyDescent="0.25">
      <c r="F1221" s="35">
        <v>1215</v>
      </c>
      <c r="L1221" s="33" t="str">
        <f t="shared" si="133"/>
        <v/>
      </c>
      <c r="M1221" t="str">
        <f t="shared" si="134"/>
        <v/>
      </c>
      <c r="N1221" s="33" t="str">
        <f t="shared" si="135"/>
        <v/>
      </c>
      <c r="O1221" s="33" t="str">
        <f t="shared" si="136"/>
        <v/>
      </c>
      <c r="P1221" t="str">
        <f t="shared" si="137"/>
        <v/>
      </c>
      <c r="Q1221" s="33" t="str">
        <f t="shared" si="138"/>
        <v/>
      </c>
      <c r="R1221" s="39" t="str">
        <f t="shared" si="139"/>
        <v/>
      </c>
    </row>
    <row r="1222" spans="6:18" x14ac:dyDescent="0.25">
      <c r="F1222" s="35">
        <v>1216</v>
      </c>
      <c r="L1222" s="33" t="str">
        <f t="shared" si="133"/>
        <v/>
      </c>
      <c r="M1222" t="str">
        <f t="shared" si="134"/>
        <v/>
      </c>
      <c r="N1222" s="33" t="str">
        <f t="shared" si="135"/>
        <v/>
      </c>
      <c r="O1222" s="33" t="str">
        <f t="shared" si="136"/>
        <v/>
      </c>
      <c r="P1222" t="str">
        <f t="shared" si="137"/>
        <v/>
      </c>
      <c r="Q1222" s="33" t="str">
        <f t="shared" si="138"/>
        <v/>
      </c>
      <c r="R1222" s="39" t="str">
        <f t="shared" si="139"/>
        <v/>
      </c>
    </row>
    <row r="1223" spans="6:18" x14ac:dyDescent="0.25">
      <c r="F1223" s="35">
        <v>1217</v>
      </c>
      <c r="L1223" s="33" t="str">
        <f t="shared" si="133"/>
        <v/>
      </c>
      <c r="M1223" t="str">
        <f t="shared" si="134"/>
        <v/>
      </c>
      <c r="N1223" s="33" t="str">
        <f t="shared" si="135"/>
        <v/>
      </c>
      <c r="O1223" s="33" t="str">
        <f t="shared" si="136"/>
        <v/>
      </c>
      <c r="P1223" t="str">
        <f t="shared" si="137"/>
        <v/>
      </c>
      <c r="Q1223" s="33" t="str">
        <f t="shared" si="138"/>
        <v/>
      </c>
      <c r="R1223" s="39" t="str">
        <f t="shared" si="139"/>
        <v/>
      </c>
    </row>
    <row r="1224" spans="6:18" x14ac:dyDescent="0.25">
      <c r="F1224" s="35">
        <v>1218</v>
      </c>
      <c r="L1224" s="33" t="str">
        <f t="shared" ref="L1224:L1287" si="140">IF(G1224="","",$C$4*$C$6*$C$7/360)</f>
        <v/>
      </c>
      <c r="M1224" t="str">
        <f t="shared" ref="M1224:M1287" si="141">IF(G1224="","",IF(H1224=$G$2,100,0))</f>
        <v/>
      </c>
      <c r="N1224" s="33" t="str">
        <f t="shared" ref="N1224:N1287" si="142">IF(G1224="","",L1224+M1224)</f>
        <v/>
      </c>
      <c r="O1224" s="33" t="str">
        <f t="shared" ref="O1224:O1287" si="143">IF(G1224="","",1/(1+$C$5*K1224/360)^(J1224/K1224))</f>
        <v/>
      </c>
      <c r="P1224" t="str">
        <f t="shared" ref="P1224:P1287" si="144">IF(G1224="","",H1224-$C$12)</f>
        <v/>
      </c>
      <c r="Q1224" s="33" t="str">
        <f t="shared" ref="Q1224:Q1287" si="145">IF(G1224="","",(P1224/K1224))</f>
        <v/>
      </c>
      <c r="R1224" s="39" t="str">
        <f t="shared" ref="R1224:R1287" si="146">IF(G1224="","",N1224*O1224)</f>
        <v/>
      </c>
    </row>
    <row r="1225" spans="6:18" x14ac:dyDescent="0.25">
      <c r="F1225" s="35">
        <v>1219</v>
      </c>
      <c r="L1225" s="33" t="str">
        <f t="shared" si="140"/>
        <v/>
      </c>
      <c r="M1225" t="str">
        <f t="shared" si="141"/>
        <v/>
      </c>
      <c r="N1225" s="33" t="str">
        <f t="shared" si="142"/>
        <v/>
      </c>
      <c r="O1225" s="33" t="str">
        <f t="shared" si="143"/>
        <v/>
      </c>
      <c r="P1225" t="str">
        <f t="shared" si="144"/>
        <v/>
      </c>
      <c r="Q1225" s="33" t="str">
        <f t="shared" si="145"/>
        <v/>
      </c>
      <c r="R1225" s="39" t="str">
        <f t="shared" si="146"/>
        <v/>
      </c>
    </row>
    <row r="1226" spans="6:18" x14ac:dyDescent="0.25">
      <c r="F1226" s="35">
        <v>1220</v>
      </c>
      <c r="L1226" s="33" t="str">
        <f t="shared" si="140"/>
        <v/>
      </c>
      <c r="M1226" t="str">
        <f t="shared" si="141"/>
        <v/>
      </c>
      <c r="N1226" s="33" t="str">
        <f t="shared" si="142"/>
        <v/>
      </c>
      <c r="O1226" s="33" t="str">
        <f t="shared" si="143"/>
        <v/>
      </c>
      <c r="P1226" t="str">
        <f t="shared" si="144"/>
        <v/>
      </c>
      <c r="Q1226" s="33" t="str">
        <f t="shared" si="145"/>
        <v/>
      </c>
      <c r="R1226" s="39" t="str">
        <f t="shared" si="146"/>
        <v/>
      </c>
    </row>
    <row r="1227" spans="6:18" x14ac:dyDescent="0.25">
      <c r="F1227" s="35">
        <v>1221</v>
      </c>
      <c r="L1227" s="33" t="str">
        <f t="shared" si="140"/>
        <v/>
      </c>
      <c r="M1227" t="str">
        <f t="shared" si="141"/>
        <v/>
      </c>
      <c r="N1227" s="33" t="str">
        <f t="shared" si="142"/>
        <v/>
      </c>
      <c r="O1227" s="33" t="str">
        <f t="shared" si="143"/>
        <v/>
      </c>
      <c r="P1227" t="str">
        <f t="shared" si="144"/>
        <v/>
      </c>
      <c r="Q1227" s="33" t="str">
        <f t="shared" si="145"/>
        <v/>
      </c>
      <c r="R1227" s="39" t="str">
        <f t="shared" si="146"/>
        <v/>
      </c>
    </row>
    <row r="1228" spans="6:18" x14ac:dyDescent="0.25">
      <c r="F1228" s="35">
        <v>1222</v>
      </c>
      <c r="L1228" s="33" t="str">
        <f t="shared" si="140"/>
        <v/>
      </c>
      <c r="M1228" t="str">
        <f t="shared" si="141"/>
        <v/>
      </c>
      <c r="N1228" s="33" t="str">
        <f t="shared" si="142"/>
        <v/>
      </c>
      <c r="O1228" s="33" t="str">
        <f t="shared" si="143"/>
        <v/>
      </c>
      <c r="P1228" t="str">
        <f t="shared" si="144"/>
        <v/>
      </c>
      <c r="Q1228" s="33" t="str">
        <f t="shared" si="145"/>
        <v/>
      </c>
      <c r="R1228" s="39" t="str">
        <f t="shared" si="146"/>
        <v/>
      </c>
    </row>
    <row r="1229" spans="6:18" x14ac:dyDescent="0.25">
      <c r="F1229" s="35">
        <v>1223</v>
      </c>
      <c r="L1229" s="33" t="str">
        <f t="shared" si="140"/>
        <v/>
      </c>
      <c r="M1229" t="str">
        <f t="shared" si="141"/>
        <v/>
      </c>
      <c r="N1229" s="33" t="str">
        <f t="shared" si="142"/>
        <v/>
      </c>
      <c r="O1229" s="33" t="str">
        <f t="shared" si="143"/>
        <v/>
      </c>
      <c r="P1229" t="str">
        <f t="shared" si="144"/>
        <v/>
      </c>
      <c r="Q1229" s="33" t="str">
        <f t="shared" si="145"/>
        <v/>
      </c>
      <c r="R1229" s="39" t="str">
        <f t="shared" si="146"/>
        <v/>
      </c>
    </row>
    <row r="1230" spans="6:18" x14ac:dyDescent="0.25">
      <c r="F1230" s="35">
        <v>1224</v>
      </c>
      <c r="L1230" s="33" t="str">
        <f t="shared" si="140"/>
        <v/>
      </c>
      <c r="M1230" t="str">
        <f t="shared" si="141"/>
        <v/>
      </c>
      <c r="N1230" s="33" t="str">
        <f t="shared" si="142"/>
        <v/>
      </c>
      <c r="O1230" s="33" t="str">
        <f t="shared" si="143"/>
        <v/>
      </c>
      <c r="P1230" t="str">
        <f t="shared" si="144"/>
        <v/>
      </c>
      <c r="Q1230" s="33" t="str">
        <f t="shared" si="145"/>
        <v/>
      </c>
      <c r="R1230" s="39" t="str">
        <f t="shared" si="146"/>
        <v/>
      </c>
    </row>
    <row r="1231" spans="6:18" x14ac:dyDescent="0.25">
      <c r="F1231" s="35">
        <v>1225</v>
      </c>
      <c r="L1231" s="33" t="str">
        <f t="shared" si="140"/>
        <v/>
      </c>
      <c r="M1231" t="str">
        <f t="shared" si="141"/>
        <v/>
      </c>
      <c r="N1231" s="33" t="str">
        <f t="shared" si="142"/>
        <v/>
      </c>
      <c r="O1231" s="33" t="str">
        <f t="shared" si="143"/>
        <v/>
      </c>
      <c r="P1231" t="str">
        <f t="shared" si="144"/>
        <v/>
      </c>
      <c r="Q1231" s="33" t="str">
        <f t="shared" si="145"/>
        <v/>
      </c>
      <c r="R1231" s="39" t="str">
        <f t="shared" si="146"/>
        <v/>
      </c>
    </row>
    <row r="1232" spans="6:18" x14ac:dyDescent="0.25">
      <c r="F1232" s="35">
        <v>1226</v>
      </c>
      <c r="L1232" s="33" t="str">
        <f t="shared" si="140"/>
        <v/>
      </c>
      <c r="M1232" t="str">
        <f t="shared" si="141"/>
        <v/>
      </c>
      <c r="N1232" s="33" t="str">
        <f t="shared" si="142"/>
        <v/>
      </c>
      <c r="O1232" s="33" t="str">
        <f t="shared" si="143"/>
        <v/>
      </c>
      <c r="P1232" t="str">
        <f t="shared" si="144"/>
        <v/>
      </c>
      <c r="Q1232" s="33" t="str">
        <f t="shared" si="145"/>
        <v/>
      </c>
      <c r="R1232" s="39" t="str">
        <f t="shared" si="146"/>
        <v/>
      </c>
    </row>
    <row r="1233" spans="6:18" x14ac:dyDescent="0.25">
      <c r="F1233" s="35">
        <v>1227</v>
      </c>
      <c r="L1233" s="33" t="str">
        <f t="shared" si="140"/>
        <v/>
      </c>
      <c r="M1233" t="str">
        <f t="shared" si="141"/>
        <v/>
      </c>
      <c r="N1233" s="33" t="str">
        <f t="shared" si="142"/>
        <v/>
      </c>
      <c r="O1233" s="33" t="str">
        <f t="shared" si="143"/>
        <v/>
      </c>
      <c r="P1233" t="str">
        <f t="shared" si="144"/>
        <v/>
      </c>
      <c r="Q1233" s="33" t="str">
        <f t="shared" si="145"/>
        <v/>
      </c>
      <c r="R1233" s="39" t="str">
        <f t="shared" si="146"/>
        <v/>
      </c>
    </row>
    <row r="1234" spans="6:18" x14ac:dyDescent="0.25">
      <c r="F1234" s="35">
        <v>1228</v>
      </c>
      <c r="L1234" s="33" t="str">
        <f t="shared" si="140"/>
        <v/>
      </c>
      <c r="M1234" t="str">
        <f t="shared" si="141"/>
        <v/>
      </c>
      <c r="N1234" s="33" t="str">
        <f t="shared" si="142"/>
        <v/>
      </c>
      <c r="O1234" s="33" t="str">
        <f t="shared" si="143"/>
        <v/>
      </c>
      <c r="P1234" t="str">
        <f t="shared" si="144"/>
        <v/>
      </c>
      <c r="Q1234" s="33" t="str">
        <f t="shared" si="145"/>
        <v/>
      </c>
      <c r="R1234" s="39" t="str">
        <f t="shared" si="146"/>
        <v/>
      </c>
    </row>
    <row r="1235" spans="6:18" x14ac:dyDescent="0.25">
      <c r="F1235" s="35">
        <v>1229</v>
      </c>
      <c r="L1235" s="33" t="str">
        <f t="shared" si="140"/>
        <v/>
      </c>
      <c r="M1235" t="str">
        <f t="shared" si="141"/>
        <v/>
      </c>
      <c r="N1235" s="33" t="str">
        <f t="shared" si="142"/>
        <v/>
      </c>
      <c r="O1235" s="33" t="str">
        <f t="shared" si="143"/>
        <v/>
      </c>
      <c r="P1235" t="str">
        <f t="shared" si="144"/>
        <v/>
      </c>
      <c r="Q1235" s="33" t="str">
        <f t="shared" si="145"/>
        <v/>
      </c>
      <c r="R1235" s="39" t="str">
        <f t="shared" si="146"/>
        <v/>
      </c>
    </row>
    <row r="1236" spans="6:18" x14ac:dyDescent="0.25">
      <c r="F1236" s="35">
        <v>1230</v>
      </c>
      <c r="L1236" s="33" t="str">
        <f t="shared" si="140"/>
        <v/>
      </c>
      <c r="M1236" t="str">
        <f t="shared" si="141"/>
        <v/>
      </c>
      <c r="N1236" s="33" t="str">
        <f t="shared" si="142"/>
        <v/>
      </c>
      <c r="O1236" s="33" t="str">
        <f t="shared" si="143"/>
        <v/>
      </c>
      <c r="P1236" t="str">
        <f t="shared" si="144"/>
        <v/>
      </c>
      <c r="Q1236" s="33" t="str">
        <f t="shared" si="145"/>
        <v/>
      </c>
      <c r="R1236" s="39" t="str">
        <f t="shared" si="146"/>
        <v/>
      </c>
    </row>
    <row r="1237" spans="6:18" x14ac:dyDescent="0.25">
      <c r="F1237" s="35">
        <v>1231</v>
      </c>
      <c r="L1237" s="33" t="str">
        <f t="shared" si="140"/>
        <v/>
      </c>
      <c r="M1237" t="str">
        <f t="shared" si="141"/>
        <v/>
      </c>
      <c r="N1237" s="33" t="str">
        <f t="shared" si="142"/>
        <v/>
      </c>
      <c r="O1237" s="33" t="str">
        <f t="shared" si="143"/>
        <v/>
      </c>
      <c r="P1237" t="str">
        <f t="shared" si="144"/>
        <v/>
      </c>
      <c r="Q1237" s="33" t="str">
        <f t="shared" si="145"/>
        <v/>
      </c>
      <c r="R1237" s="39" t="str">
        <f t="shared" si="146"/>
        <v/>
      </c>
    </row>
    <row r="1238" spans="6:18" x14ac:dyDescent="0.25">
      <c r="F1238" s="35">
        <v>1232</v>
      </c>
      <c r="L1238" s="33" t="str">
        <f t="shared" si="140"/>
        <v/>
      </c>
      <c r="M1238" t="str">
        <f t="shared" si="141"/>
        <v/>
      </c>
      <c r="N1238" s="33" t="str">
        <f t="shared" si="142"/>
        <v/>
      </c>
      <c r="O1238" s="33" t="str">
        <f t="shared" si="143"/>
        <v/>
      </c>
      <c r="P1238" t="str">
        <f t="shared" si="144"/>
        <v/>
      </c>
      <c r="Q1238" s="33" t="str">
        <f t="shared" si="145"/>
        <v/>
      </c>
      <c r="R1238" s="39" t="str">
        <f t="shared" si="146"/>
        <v/>
      </c>
    </row>
    <row r="1239" spans="6:18" x14ac:dyDescent="0.25">
      <c r="F1239" s="35">
        <v>1233</v>
      </c>
      <c r="L1239" s="33" t="str">
        <f t="shared" si="140"/>
        <v/>
      </c>
      <c r="M1239" t="str">
        <f t="shared" si="141"/>
        <v/>
      </c>
      <c r="N1239" s="33" t="str">
        <f t="shared" si="142"/>
        <v/>
      </c>
      <c r="O1239" s="33" t="str">
        <f t="shared" si="143"/>
        <v/>
      </c>
      <c r="P1239" t="str">
        <f t="shared" si="144"/>
        <v/>
      </c>
      <c r="Q1239" s="33" t="str">
        <f t="shared" si="145"/>
        <v/>
      </c>
      <c r="R1239" s="39" t="str">
        <f t="shared" si="146"/>
        <v/>
      </c>
    </row>
    <row r="1240" spans="6:18" x14ac:dyDescent="0.25">
      <c r="F1240" s="35">
        <v>1234</v>
      </c>
      <c r="L1240" s="33" t="str">
        <f t="shared" si="140"/>
        <v/>
      </c>
      <c r="M1240" t="str">
        <f t="shared" si="141"/>
        <v/>
      </c>
      <c r="N1240" s="33" t="str">
        <f t="shared" si="142"/>
        <v/>
      </c>
      <c r="O1240" s="33" t="str">
        <f t="shared" si="143"/>
        <v/>
      </c>
      <c r="P1240" t="str">
        <f t="shared" si="144"/>
        <v/>
      </c>
      <c r="Q1240" s="33" t="str">
        <f t="shared" si="145"/>
        <v/>
      </c>
      <c r="R1240" s="39" t="str">
        <f t="shared" si="146"/>
        <v/>
      </c>
    </row>
    <row r="1241" spans="6:18" x14ac:dyDescent="0.25">
      <c r="F1241" s="35">
        <v>1235</v>
      </c>
      <c r="L1241" s="33" t="str">
        <f t="shared" si="140"/>
        <v/>
      </c>
      <c r="M1241" t="str">
        <f t="shared" si="141"/>
        <v/>
      </c>
      <c r="N1241" s="33" t="str">
        <f t="shared" si="142"/>
        <v/>
      </c>
      <c r="O1241" s="33" t="str">
        <f t="shared" si="143"/>
        <v/>
      </c>
      <c r="P1241" t="str">
        <f t="shared" si="144"/>
        <v/>
      </c>
      <c r="Q1241" s="33" t="str">
        <f t="shared" si="145"/>
        <v/>
      </c>
      <c r="R1241" s="39" t="str">
        <f t="shared" si="146"/>
        <v/>
      </c>
    </row>
    <row r="1242" spans="6:18" x14ac:dyDescent="0.25">
      <c r="F1242" s="35">
        <v>1236</v>
      </c>
      <c r="L1242" s="33" t="str">
        <f t="shared" si="140"/>
        <v/>
      </c>
      <c r="M1242" t="str">
        <f t="shared" si="141"/>
        <v/>
      </c>
      <c r="N1242" s="33" t="str">
        <f t="shared" si="142"/>
        <v/>
      </c>
      <c r="O1242" s="33" t="str">
        <f t="shared" si="143"/>
        <v/>
      </c>
      <c r="P1242" t="str">
        <f t="shared" si="144"/>
        <v/>
      </c>
      <c r="Q1242" s="33" t="str">
        <f t="shared" si="145"/>
        <v/>
      </c>
      <c r="R1242" s="39" t="str">
        <f t="shared" si="146"/>
        <v/>
      </c>
    </row>
    <row r="1243" spans="6:18" x14ac:dyDescent="0.25">
      <c r="F1243" s="35">
        <v>1237</v>
      </c>
      <c r="L1243" s="33" t="str">
        <f t="shared" si="140"/>
        <v/>
      </c>
      <c r="M1243" t="str">
        <f t="shared" si="141"/>
        <v/>
      </c>
      <c r="N1243" s="33" t="str">
        <f t="shared" si="142"/>
        <v/>
      </c>
      <c r="O1243" s="33" t="str">
        <f t="shared" si="143"/>
        <v/>
      </c>
      <c r="P1243" t="str">
        <f t="shared" si="144"/>
        <v/>
      </c>
      <c r="Q1243" s="33" t="str">
        <f t="shared" si="145"/>
        <v/>
      </c>
      <c r="R1243" s="39" t="str">
        <f t="shared" si="146"/>
        <v/>
      </c>
    </row>
    <row r="1244" spans="6:18" x14ac:dyDescent="0.25">
      <c r="F1244" s="35">
        <v>1238</v>
      </c>
      <c r="L1244" s="33" t="str">
        <f t="shared" si="140"/>
        <v/>
      </c>
      <c r="M1244" t="str">
        <f t="shared" si="141"/>
        <v/>
      </c>
      <c r="N1244" s="33" t="str">
        <f t="shared" si="142"/>
        <v/>
      </c>
      <c r="O1244" s="33" t="str">
        <f t="shared" si="143"/>
        <v/>
      </c>
      <c r="P1244" t="str">
        <f t="shared" si="144"/>
        <v/>
      </c>
      <c r="Q1244" s="33" t="str">
        <f t="shared" si="145"/>
        <v/>
      </c>
      <c r="R1244" s="39" t="str">
        <f t="shared" si="146"/>
        <v/>
      </c>
    </row>
    <row r="1245" spans="6:18" x14ac:dyDescent="0.25">
      <c r="F1245" s="35">
        <v>1239</v>
      </c>
      <c r="L1245" s="33" t="str">
        <f t="shared" si="140"/>
        <v/>
      </c>
      <c r="M1245" t="str">
        <f t="shared" si="141"/>
        <v/>
      </c>
      <c r="N1245" s="33" t="str">
        <f t="shared" si="142"/>
        <v/>
      </c>
      <c r="O1245" s="33" t="str">
        <f t="shared" si="143"/>
        <v/>
      </c>
      <c r="P1245" t="str">
        <f t="shared" si="144"/>
        <v/>
      </c>
      <c r="Q1245" s="33" t="str">
        <f t="shared" si="145"/>
        <v/>
      </c>
      <c r="R1245" s="39" t="str">
        <f t="shared" si="146"/>
        <v/>
      </c>
    </row>
    <row r="1246" spans="6:18" x14ac:dyDescent="0.25">
      <c r="F1246" s="35">
        <v>1240</v>
      </c>
      <c r="L1246" s="33" t="str">
        <f t="shared" si="140"/>
        <v/>
      </c>
      <c r="M1246" t="str">
        <f t="shared" si="141"/>
        <v/>
      </c>
      <c r="N1246" s="33" t="str">
        <f t="shared" si="142"/>
        <v/>
      </c>
      <c r="O1246" s="33" t="str">
        <f t="shared" si="143"/>
        <v/>
      </c>
      <c r="P1246" t="str">
        <f t="shared" si="144"/>
        <v/>
      </c>
      <c r="Q1246" s="33" t="str">
        <f t="shared" si="145"/>
        <v/>
      </c>
      <c r="R1246" s="39" t="str">
        <f t="shared" si="146"/>
        <v/>
      </c>
    </row>
    <row r="1247" spans="6:18" x14ac:dyDescent="0.25">
      <c r="F1247" s="35">
        <v>1241</v>
      </c>
      <c r="L1247" s="33" t="str">
        <f t="shared" si="140"/>
        <v/>
      </c>
      <c r="M1247" t="str">
        <f t="shared" si="141"/>
        <v/>
      </c>
      <c r="N1247" s="33" t="str">
        <f t="shared" si="142"/>
        <v/>
      </c>
      <c r="O1247" s="33" t="str">
        <f t="shared" si="143"/>
        <v/>
      </c>
      <c r="P1247" t="str">
        <f t="shared" si="144"/>
        <v/>
      </c>
      <c r="Q1247" s="33" t="str">
        <f t="shared" si="145"/>
        <v/>
      </c>
      <c r="R1247" s="39" t="str">
        <f t="shared" si="146"/>
        <v/>
      </c>
    </row>
    <row r="1248" spans="6:18" x14ac:dyDescent="0.25">
      <c r="F1248" s="35">
        <v>1242</v>
      </c>
      <c r="L1248" s="33" t="str">
        <f t="shared" si="140"/>
        <v/>
      </c>
      <c r="M1248" t="str">
        <f t="shared" si="141"/>
        <v/>
      </c>
      <c r="N1248" s="33" t="str">
        <f t="shared" si="142"/>
        <v/>
      </c>
      <c r="O1248" s="33" t="str">
        <f t="shared" si="143"/>
        <v/>
      </c>
      <c r="P1248" t="str">
        <f t="shared" si="144"/>
        <v/>
      </c>
      <c r="Q1248" s="33" t="str">
        <f t="shared" si="145"/>
        <v/>
      </c>
      <c r="R1248" s="39" t="str">
        <f t="shared" si="146"/>
        <v/>
      </c>
    </row>
    <row r="1249" spans="6:18" x14ac:dyDescent="0.25">
      <c r="F1249" s="35">
        <v>1243</v>
      </c>
      <c r="L1249" s="33" t="str">
        <f t="shared" si="140"/>
        <v/>
      </c>
      <c r="M1249" t="str">
        <f t="shared" si="141"/>
        <v/>
      </c>
      <c r="N1249" s="33" t="str">
        <f t="shared" si="142"/>
        <v/>
      </c>
      <c r="O1249" s="33" t="str">
        <f t="shared" si="143"/>
        <v/>
      </c>
      <c r="P1249" t="str">
        <f t="shared" si="144"/>
        <v/>
      </c>
      <c r="Q1249" s="33" t="str">
        <f t="shared" si="145"/>
        <v/>
      </c>
      <c r="R1249" s="39" t="str">
        <f t="shared" si="146"/>
        <v/>
      </c>
    </row>
    <row r="1250" spans="6:18" x14ac:dyDescent="0.25">
      <c r="F1250" s="35">
        <v>1244</v>
      </c>
      <c r="L1250" s="33" t="str">
        <f t="shared" si="140"/>
        <v/>
      </c>
      <c r="M1250" t="str">
        <f t="shared" si="141"/>
        <v/>
      </c>
      <c r="N1250" s="33" t="str">
        <f t="shared" si="142"/>
        <v/>
      </c>
      <c r="O1250" s="33" t="str">
        <f t="shared" si="143"/>
        <v/>
      </c>
      <c r="P1250" t="str">
        <f t="shared" si="144"/>
        <v/>
      </c>
      <c r="Q1250" s="33" t="str">
        <f t="shared" si="145"/>
        <v/>
      </c>
      <c r="R1250" s="39" t="str">
        <f t="shared" si="146"/>
        <v/>
      </c>
    </row>
    <row r="1251" spans="6:18" x14ac:dyDescent="0.25">
      <c r="F1251" s="35">
        <v>1245</v>
      </c>
      <c r="L1251" s="33" t="str">
        <f t="shared" si="140"/>
        <v/>
      </c>
      <c r="M1251" t="str">
        <f t="shared" si="141"/>
        <v/>
      </c>
      <c r="N1251" s="33" t="str">
        <f t="shared" si="142"/>
        <v/>
      </c>
      <c r="O1251" s="33" t="str">
        <f t="shared" si="143"/>
        <v/>
      </c>
      <c r="P1251" t="str">
        <f t="shared" si="144"/>
        <v/>
      </c>
      <c r="Q1251" s="33" t="str">
        <f t="shared" si="145"/>
        <v/>
      </c>
      <c r="R1251" s="39" t="str">
        <f t="shared" si="146"/>
        <v/>
      </c>
    </row>
    <row r="1252" spans="6:18" x14ac:dyDescent="0.25">
      <c r="F1252" s="35">
        <v>1246</v>
      </c>
      <c r="L1252" s="33" t="str">
        <f t="shared" si="140"/>
        <v/>
      </c>
      <c r="M1252" t="str">
        <f t="shared" si="141"/>
        <v/>
      </c>
      <c r="N1252" s="33" t="str">
        <f t="shared" si="142"/>
        <v/>
      </c>
      <c r="O1252" s="33" t="str">
        <f t="shared" si="143"/>
        <v/>
      </c>
      <c r="P1252" t="str">
        <f t="shared" si="144"/>
        <v/>
      </c>
      <c r="Q1252" s="33" t="str">
        <f t="shared" si="145"/>
        <v/>
      </c>
      <c r="R1252" s="39" t="str">
        <f t="shared" si="146"/>
        <v/>
      </c>
    </row>
    <row r="1253" spans="6:18" x14ac:dyDescent="0.25">
      <c r="F1253" s="35">
        <v>1247</v>
      </c>
      <c r="L1253" s="33" t="str">
        <f t="shared" si="140"/>
        <v/>
      </c>
      <c r="M1253" t="str">
        <f t="shared" si="141"/>
        <v/>
      </c>
      <c r="N1253" s="33" t="str">
        <f t="shared" si="142"/>
        <v/>
      </c>
      <c r="O1253" s="33" t="str">
        <f t="shared" si="143"/>
        <v/>
      </c>
      <c r="P1253" t="str">
        <f t="shared" si="144"/>
        <v/>
      </c>
      <c r="Q1253" s="33" t="str">
        <f t="shared" si="145"/>
        <v/>
      </c>
      <c r="R1253" s="39" t="str">
        <f t="shared" si="146"/>
        <v/>
      </c>
    </row>
    <row r="1254" spans="6:18" x14ac:dyDescent="0.25">
      <c r="F1254" s="35">
        <v>1248</v>
      </c>
      <c r="L1254" s="33" t="str">
        <f t="shared" si="140"/>
        <v/>
      </c>
      <c r="M1254" t="str">
        <f t="shared" si="141"/>
        <v/>
      </c>
      <c r="N1254" s="33" t="str">
        <f t="shared" si="142"/>
        <v/>
      </c>
      <c r="O1254" s="33" t="str">
        <f t="shared" si="143"/>
        <v/>
      </c>
      <c r="P1254" t="str">
        <f t="shared" si="144"/>
        <v/>
      </c>
      <c r="Q1254" s="33" t="str">
        <f t="shared" si="145"/>
        <v/>
      </c>
      <c r="R1254" s="39" t="str">
        <f t="shared" si="146"/>
        <v/>
      </c>
    </row>
    <row r="1255" spans="6:18" x14ac:dyDescent="0.25">
      <c r="F1255" s="35">
        <v>1249</v>
      </c>
      <c r="L1255" s="33" t="str">
        <f t="shared" si="140"/>
        <v/>
      </c>
      <c r="M1255" t="str">
        <f t="shared" si="141"/>
        <v/>
      </c>
      <c r="N1255" s="33" t="str">
        <f t="shared" si="142"/>
        <v/>
      </c>
      <c r="O1255" s="33" t="str">
        <f t="shared" si="143"/>
        <v/>
      </c>
      <c r="P1255" t="str">
        <f t="shared" si="144"/>
        <v/>
      </c>
      <c r="Q1255" s="33" t="str">
        <f t="shared" si="145"/>
        <v/>
      </c>
      <c r="R1255" s="39" t="str">
        <f t="shared" si="146"/>
        <v/>
      </c>
    </row>
    <row r="1256" spans="6:18" x14ac:dyDescent="0.25">
      <c r="F1256" s="35">
        <v>1250</v>
      </c>
      <c r="L1256" s="33" t="str">
        <f t="shared" si="140"/>
        <v/>
      </c>
      <c r="M1256" t="str">
        <f t="shared" si="141"/>
        <v/>
      </c>
      <c r="N1256" s="33" t="str">
        <f t="shared" si="142"/>
        <v/>
      </c>
      <c r="O1256" s="33" t="str">
        <f t="shared" si="143"/>
        <v/>
      </c>
      <c r="P1256" t="str">
        <f t="shared" si="144"/>
        <v/>
      </c>
      <c r="Q1256" s="33" t="str">
        <f t="shared" si="145"/>
        <v/>
      </c>
      <c r="R1256" s="39" t="str">
        <f t="shared" si="146"/>
        <v/>
      </c>
    </row>
    <row r="1257" spans="6:18" x14ac:dyDescent="0.25">
      <c r="F1257" s="35">
        <v>1251</v>
      </c>
      <c r="L1257" s="33" t="str">
        <f t="shared" si="140"/>
        <v/>
      </c>
      <c r="M1257" t="str">
        <f t="shared" si="141"/>
        <v/>
      </c>
      <c r="N1257" s="33" t="str">
        <f t="shared" si="142"/>
        <v/>
      </c>
      <c r="O1257" s="33" t="str">
        <f t="shared" si="143"/>
        <v/>
      </c>
      <c r="P1257" t="str">
        <f t="shared" si="144"/>
        <v/>
      </c>
      <c r="Q1257" s="33" t="str">
        <f t="shared" si="145"/>
        <v/>
      </c>
      <c r="R1257" s="39" t="str">
        <f t="shared" si="146"/>
        <v/>
      </c>
    </row>
    <row r="1258" spans="6:18" x14ac:dyDescent="0.25">
      <c r="F1258" s="35">
        <v>1252</v>
      </c>
      <c r="L1258" s="33" t="str">
        <f t="shared" si="140"/>
        <v/>
      </c>
      <c r="M1258" t="str">
        <f t="shared" si="141"/>
        <v/>
      </c>
      <c r="N1258" s="33" t="str">
        <f t="shared" si="142"/>
        <v/>
      </c>
      <c r="O1258" s="33" t="str">
        <f t="shared" si="143"/>
        <v/>
      </c>
      <c r="P1258" t="str">
        <f t="shared" si="144"/>
        <v/>
      </c>
      <c r="Q1258" s="33" t="str">
        <f t="shared" si="145"/>
        <v/>
      </c>
      <c r="R1258" s="39" t="str">
        <f t="shared" si="146"/>
        <v/>
      </c>
    </row>
    <row r="1259" spans="6:18" x14ac:dyDescent="0.25">
      <c r="F1259" s="35">
        <v>1253</v>
      </c>
      <c r="L1259" s="33" t="str">
        <f t="shared" si="140"/>
        <v/>
      </c>
      <c r="M1259" t="str">
        <f t="shared" si="141"/>
        <v/>
      </c>
      <c r="N1259" s="33" t="str">
        <f t="shared" si="142"/>
        <v/>
      </c>
      <c r="O1259" s="33" t="str">
        <f t="shared" si="143"/>
        <v/>
      </c>
      <c r="P1259" t="str">
        <f t="shared" si="144"/>
        <v/>
      </c>
      <c r="Q1259" s="33" t="str">
        <f t="shared" si="145"/>
        <v/>
      </c>
      <c r="R1259" s="39" t="str">
        <f t="shared" si="146"/>
        <v/>
      </c>
    </row>
    <row r="1260" spans="6:18" x14ac:dyDescent="0.25">
      <c r="F1260" s="35">
        <v>1254</v>
      </c>
      <c r="L1260" s="33" t="str">
        <f t="shared" si="140"/>
        <v/>
      </c>
      <c r="M1260" t="str">
        <f t="shared" si="141"/>
        <v/>
      </c>
      <c r="N1260" s="33" t="str">
        <f t="shared" si="142"/>
        <v/>
      </c>
      <c r="O1260" s="33" t="str">
        <f t="shared" si="143"/>
        <v/>
      </c>
      <c r="P1260" t="str">
        <f t="shared" si="144"/>
        <v/>
      </c>
      <c r="Q1260" s="33" t="str">
        <f t="shared" si="145"/>
        <v/>
      </c>
      <c r="R1260" s="39" t="str">
        <f t="shared" si="146"/>
        <v/>
      </c>
    </row>
    <row r="1261" spans="6:18" x14ac:dyDescent="0.25">
      <c r="F1261" s="35">
        <v>1255</v>
      </c>
      <c r="L1261" s="33" t="str">
        <f t="shared" si="140"/>
        <v/>
      </c>
      <c r="M1261" t="str">
        <f t="shared" si="141"/>
        <v/>
      </c>
      <c r="N1261" s="33" t="str">
        <f t="shared" si="142"/>
        <v/>
      </c>
      <c r="O1261" s="33" t="str">
        <f t="shared" si="143"/>
        <v/>
      </c>
      <c r="P1261" t="str">
        <f t="shared" si="144"/>
        <v/>
      </c>
      <c r="Q1261" s="33" t="str">
        <f t="shared" si="145"/>
        <v/>
      </c>
      <c r="R1261" s="39" t="str">
        <f t="shared" si="146"/>
        <v/>
      </c>
    </row>
    <row r="1262" spans="6:18" x14ac:dyDescent="0.25">
      <c r="F1262" s="35">
        <v>1256</v>
      </c>
      <c r="L1262" s="33" t="str">
        <f t="shared" si="140"/>
        <v/>
      </c>
      <c r="M1262" t="str">
        <f t="shared" si="141"/>
        <v/>
      </c>
      <c r="N1262" s="33" t="str">
        <f t="shared" si="142"/>
        <v/>
      </c>
      <c r="O1262" s="33" t="str">
        <f t="shared" si="143"/>
        <v/>
      </c>
      <c r="P1262" t="str">
        <f t="shared" si="144"/>
        <v/>
      </c>
      <c r="Q1262" s="33" t="str">
        <f t="shared" si="145"/>
        <v/>
      </c>
      <c r="R1262" s="39" t="str">
        <f t="shared" si="146"/>
        <v/>
      </c>
    </row>
    <row r="1263" spans="6:18" x14ac:dyDescent="0.25">
      <c r="F1263" s="35">
        <v>1257</v>
      </c>
      <c r="L1263" s="33" t="str">
        <f t="shared" si="140"/>
        <v/>
      </c>
      <c r="M1263" t="str">
        <f t="shared" si="141"/>
        <v/>
      </c>
      <c r="N1263" s="33" t="str">
        <f t="shared" si="142"/>
        <v/>
      </c>
      <c r="O1263" s="33" t="str">
        <f t="shared" si="143"/>
        <v/>
      </c>
      <c r="P1263" t="str">
        <f t="shared" si="144"/>
        <v/>
      </c>
      <c r="Q1263" s="33" t="str">
        <f t="shared" si="145"/>
        <v/>
      </c>
      <c r="R1263" s="39" t="str">
        <f t="shared" si="146"/>
        <v/>
      </c>
    </row>
    <row r="1264" spans="6:18" x14ac:dyDescent="0.25">
      <c r="F1264" s="35">
        <v>1258</v>
      </c>
      <c r="L1264" s="33" t="str">
        <f t="shared" si="140"/>
        <v/>
      </c>
      <c r="M1264" t="str">
        <f t="shared" si="141"/>
        <v/>
      </c>
      <c r="N1264" s="33" t="str">
        <f t="shared" si="142"/>
        <v/>
      </c>
      <c r="O1264" s="33" t="str">
        <f t="shared" si="143"/>
        <v/>
      </c>
      <c r="P1264" t="str">
        <f t="shared" si="144"/>
        <v/>
      </c>
      <c r="Q1264" s="33" t="str">
        <f t="shared" si="145"/>
        <v/>
      </c>
      <c r="R1264" s="39" t="str">
        <f t="shared" si="146"/>
        <v/>
      </c>
    </row>
    <row r="1265" spans="6:18" x14ac:dyDescent="0.25">
      <c r="F1265" s="35">
        <v>1259</v>
      </c>
      <c r="L1265" s="33" t="str">
        <f t="shared" si="140"/>
        <v/>
      </c>
      <c r="M1265" t="str">
        <f t="shared" si="141"/>
        <v/>
      </c>
      <c r="N1265" s="33" t="str">
        <f t="shared" si="142"/>
        <v/>
      </c>
      <c r="O1265" s="33" t="str">
        <f t="shared" si="143"/>
        <v/>
      </c>
      <c r="P1265" t="str">
        <f t="shared" si="144"/>
        <v/>
      </c>
      <c r="Q1265" s="33" t="str">
        <f t="shared" si="145"/>
        <v/>
      </c>
      <c r="R1265" s="39" t="str">
        <f t="shared" si="146"/>
        <v/>
      </c>
    </row>
    <row r="1266" spans="6:18" x14ac:dyDescent="0.25">
      <c r="F1266" s="35">
        <v>1260</v>
      </c>
      <c r="L1266" s="33" t="str">
        <f t="shared" si="140"/>
        <v/>
      </c>
      <c r="M1266" t="str">
        <f t="shared" si="141"/>
        <v/>
      </c>
      <c r="N1266" s="33" t="str">
        <f t="shared" si="142"/>
        <v/>
      </c>
      <c r="O1266" s="33" t="str">
        <f t="shared" si="143"/>
        <v/>
      </c>
      <c r="P1266" t="str">
        <f t="shared" si="144"/>
        <v/>
      </c>
      <c r="Q1266" s="33" t="str">
        <f t="shared" si="145"/>
        <v/>
      </c>
      <c r="R1266" s="39" t="str">
        <f t="shared" si="146"/>
        <v/>
      </c>
    </row>
    <row r="1267" spans="6:18" x14ac:dyDescent="0.25">
      <c r="F1267" s="35">
        <v>1261</v>
      </c>
      <c r="L1267" s="33" t="str">
        <f t="shared" si="140"/>
        <v/>
      </c>
      <c r="M1267" t="str">
        <f t="shared" si="141"/>
        <v/>
      </c>
      <c r="N1267" s="33" t="str">
        <f t="shared" si="142"/>
        <v/>
      </c>
      <c r="O1267" s="33" t="str">
        <f t="shared" si="143"/>
        <v/>
      </c>
      <c r="P1267" t="str">
        <f t="shared" si="144"/>
        <v/>
      </c>
      <c r="Q1267" s="33" t="str">
        <f t="shared" si="145"/>
        <v/>
      </c>
      <c r="R1267" s="39" t="str">
        <f t="shared" si="146"/>
        <v/>
      </c>
    </row>
    <row r="1268" spans="6:18" x14ac:dyDescent="0.25">
      <c r="F1268" s="35">
        <v>1262</v>
      </c>
      <c r="L1268" s="33" t="str">
        <f t="shared" si="140"/>
        <v/>
      </c>
      <c r="M1268" t="str">
        <f t="shared" si="141"/>
        <v/>
      </c>
      <c r="N1268" s="33" t="str">
        <f t="shared" si="142"/>
        <v/>
      </c>
      <c r="O1268" s="33" t="str">
        <f t="shared" si="143"/>
        <v/>
      </c>
      <c r="P1268" t="str">
        <f t="shared" si="144"/>
        <v/>
      </c>
      <c r="Q1268" s="33" t="str">
        <f t="shared" si="145"/>
        <v/>
      </c>
      <c r="R1268" s="39" t="str">
        <f t="shared" si="146"/>
        <v/>
      </c>
    </row>
    <row r="1269" spans="6:18" x14ac:dyDescent="0.25">
      <c r="F1269" s="35">
        <v>1263</v>
      </c>
      <c r="L1269" s="33" t="str">
        <f t="shared" si="140"/>
        <v/>
      </c>
      <c r="M1269" t="str">
        <f t="shared" si="141"/>
        <v/>
      </c>
      <c r="N1269" s="33" t="str">
        <f t="shared" si="142"/>
        <v/>
      </c>
      <c r="O1269" s="33" t="str">
        <f t="shared" si="143"/>
        <v/>
      </c>
      <c r="P1269" t="str">
        <f t="shared" si="144"/>
        <v/>
      </c>
      <c r="Q1269" s="33" t="str">
        <f t="shared" si="145"/>
        <v/>
      </c>
      <c r="R1269" s="39" t="str">
        <f t="shared" si="146"/>
        <v/>
      </c>
    </row>
    <row r="1270" spans="6:18" x14ac:dyDescent="0.25">
      <c r="F1270" s="35">
        <v>1264</v>
      </c>
      <c r="L1270" s="33" t="str">
        <f t="shared" si="140"/>
        <v/>
      </c>
      <c r="M1270" t="str">
        <f t="shared" si="141"/>
        <v/>
      </c>
      <c r="N1270" s="33" t="str">
        <f t="shared" si="142"/>
        <v/>
      </c>
      <c r="O1270" s="33" t="str">
        <f t="shared" si="143"/>
        <v/>
      </c>
      <c r="P1270" t="str">
        <f t="shared" si="144"/>
        <v/>
      </c>
      <c r="Q1270" s="33" t="str">
        <f t="shared" si="145"/>
        <v/>
      </c>
      <c r="R1270" s="39" t="str">
        <f t="shared" si="146"/>
        <v/>
      </c>
    </row>
    <row r="1271" spans="6:18" x14ac:dyDescent="0.25">
      <c r="F1271" s="35">
        <v>1265</v>
      </c>
      <c r="L1271" s="33" t="str">
        <f t="shared" si="140"/>
        <v/>
      </c>
      <c r="M1271" t="str">
        <f t="shared" si="141"/>
        <v/>
      </c>
      <c r="N1271" s="33" t="str">
        <f t="shared" si="142"/>
        <v/>
      </c>
      <c r="O1271" s="33" t="str">
        <f t="shared" si="143"/>
        <v/>
      </c>
      <c r="P1271" t="str">
        <f t="shared" si="144"/>
        <v/>
      </c>
      <c r="Q1271" s="33" t="str">
        <f t="shared" si="145"/>
        <v/>
      </c>
      <c r="R1271" s="39" t="str">
        <f t="shared" si="146"/>
        <v/>
      </c>
    </row>
    <row r="1272" spans="6:18" x14ac:dyDescent="0.25">
      <c r="F1272" s="35">
        <v>1266</v>
      </c>
      <c r="L1272" s="33" t="str">
        <f t="shared" si="140"/>
        <v/>
      </c>
      <c r="M1272" t="str">
        <f t="shared" si="141"/>
        <v/>
      </c>
      <c r="N1272" s="33" t="str">
        <f t="shared" si="142"/>
        <v/>
      </c>
      <c r="O1272" s="33" t="str">
        <f t="shared" si="143"/>
        <v/>
      </c>
      <c r="P1272" t="str">
        <f t="shared" si="144"/>
        <v/>
      </c>
      <c r="Q1272" s="33" t="str">
        <f t="shared" si="145"/>
        <v/>
      </c>
      <c r="R1272" s="39" t="str">
        <f t="shared" si="146"/>
        <v/>
      </c>
    </row>
    <row r="1273" spans="6:18" x14ac:dyDescent="0.25">
      <c r="F1273" s="35">
        <v>1267</v>
      </c>
      <c r="L1273" s="33" t="str">
        <f t="shared" si="140"/>
        <v/>
      </c>
      <c r="M1273" t="str">
        <f t="shared" si="141"/>
        <v/>
      </c>
      <c r="N1273" s="33" t="str">
        <f t="shared" si="142"/>
        <v/>
      </c>
      <c r="O1273" s="33" t="str">
        <f t="shared" si="143"/>
        <v/>
      </c>
      <c r="P1273" t="str">
        <f t="shared" si="144"/>
        <v/>
      </c>
      <c r="Q1273" s="33" t="str">
        <f t="shared" si="145"/>
        <v/>
      </c>
      <c r="R1273" s="39" t="str">
        <f t="shared" si="146"/>
        <v/>
      </c>
    </row>
    <row r="1274" spans="6:18" x14ac:dyDescent="0.25">
      <c r="F1274" s="35">
        <v>1268</v>
      </c>
      <c r="L1274" s="33" t="str">
        <f t="shared" si="140"/>
        <v/>
      </c>
      <c r="M1274" t="str">
        <f t="shared" si="141"/>
        <v/>
      </c>
      <c r="N1274" s="33" t="str">
        <f t="shared" si="142"/>
        <v/>
      </c>
      <c r="O1274" s="33" t="str">
        <f t="shared" si="143"/>
        <v/>
      </c>
      <c r="P1274" t="str">
        <f t="shared" si="144"/>
        <v/>
      </c>
      <c r="Q1274" s="33" t="str">
        <f t="shared" si="145"/>
        <v/>
      </c>
      <c r="R1274" s="39" t="str">
        <f t="shared" si="146"/>
        <v/>
      </c>
    </row>
    <row r="1275" spans="6:18" x14ac:dyDescent="0.25">
      <c r="F1275" s="35">
        <v>1269</v>
      </c>
      <c r="L1275" s="33" t="str">
        <f t="shared" si="140"/>
        <v/>
      </c>
      <c r="M1275" t="str">
        <f t="shared" si="141"/>
        <v/>
      </c>
      <c r="N1275" s="33" t="str">
        <f t="shared" si="142"/>
        <v/>
      </c>
      <c r="O1275" s="33" t="str">
        <f t="shared" si="143"/>
        <v/>
      </c>
      <c r="P1275" t="str">
        <f t="shared" si="144"/>
        <v/>
      </c>
      <c r="Q1275" s="33" t="str">
        <f t="shared" si="145"/>
        <v/>
      </c>
      <c r="R1275" s="39" t="str">
        <f t="shared" si="146"/>
        <v/>
      </c>
    </row>
    <row r="1276" spans="6:18" x14ac:dyDescent="0.25">
      <c r="F1276" s="35">
        <v>1270</v>
      </c>
      <c r="L1276" s="33" t="str">
        <f t="shared" si="140"/>
        <v/>
      </c>
      <c r="M1276" t="str">
        <f t="shared" si="141"/>
        <v/>
      </c>
      <c r="N1276" s="33" t="str">
        <f t="shared" si="142"/>
        <v/>
      </c>
      <c r="O1276" s="33" t="str">
        <f t="shared" si="143"/>
        <v/>
      </c>
      <c r="P1276" t="str">
        <f t="shared" si="144"/>
        <v/>
      </c>
      <c r="Q1276" s="33" t="str">
        <f t="shared" si="145"/>
        <v/>
      </c>
      <c r="R1276" s="39" t="str">
        <f t="shared" si="146"/>
        <v/>
      </c>
    </row>
    <row r="1277" spans="6:18" x14ac:dyDescent="0.25">
      <c r="F1277" s="35">
        <v>1271</v>
      </c>
      <c r="L1277" s="33" t="str">
        <f t="shared" si="140"/>
        <v/>
      </c>
      <c r="M1277" t="str">
        <f t="shared" si="141"/>
        <v/>
      </c>
      <c r="N1277" s="33" t="str">
        <f t="shared" si="142"/>
        <v/>
      </c>
      <c r="O1277" s="33" t="str">
        <f t="shared" si="143"/>
        <v/>
      </c>
      <c r="P1277" t="str">
        <f t="shared" si="144"/>
        <v/>
      </c>
      <c r="Q1277" s="33" t="str">
        <f t="shared" si="145"/>
        <v/>
      </c>
      <c r="R1277" s="39" t="str">
        <f t="shared" si="146"/>
        <v/>
      </c>
    </row>
    <row r="1278" spans="6:18" x14ac:dyDescent="0.25">
      <c r="F1278" s="35">
        <v>1272</v>
      </c>
      <c r="L1278" s="33" t="str">
        <f t="shared" si="140"/>
        <v/>
      </c>
      <c r="M1278" t="str">
        <f t="shared" si="141"/>
        <v/>
      </c>
      <c r="N1278" s="33" t="str">
        <f t="shared" si="142"/>
        <v/>
      </c>
      <c r="O1278" s="33" t="str">
        <f t="shared" si="143"/>
        <v/>
      </c>
      <c r="P1278" t="str">
        <f t="shared" si="144"/>
        <v/>
      </c>
      <c r="Q1278" s="33" t="str">
        <f t="shared" si="145"/>
        <v/>
      </c>
      <c r="R1278" s="39" t="str">
        <f t="shared" si="146"/>
        <v/>
      </c>
    </row>
    <row r="1279" spans="6:18" x14ac:dyDescent="0.25">
      <c r="F1279" s="35">
        <v>1273</v>
      </c>
      <c r="L1279" s="33" t="str">
        <f t="shared" si="140"/>
        <v/>
      </c>
      <c r="M1279" t="str">
        <f t="shared" si="141"/>
        <v/>
      </c>
      <c r="N1279" s="33" t="str">
        <f t="shared" si="142"/>
        <v/>
      </c>
      <c r="O1279" s="33" t="str">
        <f t="shared" si="143"/>
        <v/>
      </c>
      <c r="P1279" t="str">
        <f t="shared" si="144"/>
        <v/>
      </c>
      <c r="Q1279" s="33" t="str">
        <f t="shared" si="145"/>
        <v/>
      </c>
      <c r="R1279" s="39" t="str">
        <f t="shared" si="146"/>
        <v/>
      </c>
    </row>
    <row r="1280" spans="6:18" x14ac:dyDescent="0.25">
      <c r="F1280" s="35">
        <v>1274</v>
      </c>
      <c r="L1280" s="33" t="str">
        <f t="shared" si="140"/>
        <v/>
      </c>
      <c r="M1280" t="str">
        <f t="shared" si="141"/>
        <v/>
      </c>
      <c r="N1280" s="33" t="str">
        <f t="shared" si="142"/>
        <v/>
      </c>
      <c r="O1280" s="33" t="str">
        <f t="shared" si="143"/>
        <v/>
      </c>
      <c r="P1280" t="str">
        <f t="shared" si="144"/>
        <v/>
      </c>
      <c r="Q1280" s="33" t="str">
        <f t="shared" si="145"/>
        <v/>
      </c>
      <c r="R1280" s="39" t="str">
        <f t="shared" si="146"/>
        <v/>
      </c>
    </row>
    <row r="1281" spans="6:18" x14ac:dyDescent="0.25">
      <c r="F1281" s="35">
        <v>1275</v>
      </c>
      <c r="L1281" s="33" t="str">
        <f t="shared" si="140"/>
        <v/>
      </c>
      <c r="M1281" t="str">
        <f t="shared" si="141"/>
        <v/>
      </c>
      <c r="N1281" s="33" t="str">
        <f t="shared" si="142"/>
        <v/>
      </c>
      <c r="O1281" s="33" t="str">
        <f t="shared" si="143"/>
        <v/>
      </c>
      <c r="P1281" t="str">
        <f t="shared" si="144"/>
        <v/>
      </c>
      <c r="Q1281" s="33" t="str">
        <f t="shared" si="145"/>
        <v/>
      </c>
      <c r="R1281" s="39" t="str">
        <f t="shared" si="146"/>
        <v/>
      </c>
    </row>
    <row r="1282" spans="6:18" x14ac:dyDescent="0.25">
      <c r="F1282" s="35">
        <v>1276</v>
      </c>
      <c r="L1282" s="33" t="str">
        <f t="shared" si="140"/>
        <v/>
      </c>
      <c r="M1282" t="str">
        <f t="shared" si="141"/>
        <v/>
      </c>
      <c r="N1282" s="33" t="str">
        <f t="shared" si="142"/>
        <v/>
      </c>
      <c r="O1282" s="33" t="str">
        <f t="shared" si="143"/>
        <v/>
      </c>
      <c r="P1282" t="str">
        <f t="shared" si="144"/>
        <v/>
      </c>
      <c r="Q1282" s="33" t="str">
        <f t="shared" si="145"/>
        <v/>
      </c>
      <c r="R1282" s="39" t="str">
        <f t="shared" si="146"/>
        <v/>
      </c>
    </row>
    <row r="1283" spans="6:18" x14ac:dyDescent="0.25">
      <c r="F1283" s="35">
        <v>1277</v>
      </c>
      <c r="L1283" s="33" t="str">
        <f t="shared" si="140"/>
        <v/>
      </c>
      <c r="M1283" t="str">
        <f t="shared" si="141"/>
        <v/>
      </c>
      <c r="N1283" s="33" t="str">
        <f t="shared" si="142"/>
        <v/>
      </c>
      <c r="O1283" s="33" t="str">
        <f t="shared" si="143"/>
        <v/>
      </c>
      <c r="P1283" t="str">
        <f t="shared" si="144"/>
        <v/>
      </c>
      <c r="Q1283" s="33" t="str">
        <f t="shared" si="145"/>
        <v/>
      </c>
      <c r="R1283" s="39" t="str">
        <f t="shared" si="146"/>
        <v/>
      </c>
    </row>
    <row r="1284" spans="6:18" x14ac:dyDescent="0.25">
      <c r="F1284" s="35">
        <v>1278</v>
      </c>
      <c r="L1284" s="33" t="str">
        <f t="shared" si="140"/>
        <v/>
      </c>
      <c r="M1284" t="str">
        <f t="shared" si="141"/>
        <v/>
      </c>
      <c r="N1284" s="33" t="str">
        <f t="shared" si="142"/>
        <v/>
      </c>
      <c r="O1284" s="33" t="str">
        <f t="shared" si="143"/>
        <v/>
      </c>
      <c r="P1284" t="str">
        <f t="shared" si="144"/>
        <v/>
      </c>
      <c r="Q1284" s="33" t="str">
        <f t="shared" si="145"/>
        <v/>
      </c>
      <c r="R1284" s="39" t="str">
        <f t="shared" si="146"/>
        <v/>
      </c>
    </row>
    <row r="1285" spans="6:18" x14ac:dyDescent="0.25">
      <c r="F1285" s="35">
        <v>1279</v>
      </c>
      <c r="L1285" s="33" t="str">
        <f t="shared" si="140"/>
        <v/>
      </c>
      <c r="M1285" t="str">
        <f t="shared" si="141"/>
        <v/>
      </c>
      <c r="N1285" s="33" t="str">
        <f t="shared" si="142"/>
        <v/>
      </c>
      <c r="O1285" s="33" t="str">
        <f t="shared" si="143"/>
        <v/>
      </c>
      <c r="P1285" t="str">
        <f t="shared" si="144"/>
        <v/>
      </c>
      <c r="Q1285" s="33" t="str">
        <f t="shared" si="145"/>
        <v/>
      </c>
      <c r="R1285" s="39" t="str">
        <f t="shared" si="146"/>
        <v/>
      </c>
    </row>
    <row r="1286" spans="6:18" x14ac:dyDescent="0.25">
      <c r="F1286" s="35">
        <v>1280</v>
      </c>
      <c r="L1286" s="33" t="str">
        <f t="shared" si="140"/>
        <v/>
      </c>
      <c r="M1286" t="str">
        <f t="shared" si="141"/>
        <v/>
      </c>
      <c r="N1286" s="33" t="str">
        <f t="shared" si="142"/>
        <v/>
      </c>
      <c r="O1286" s="33" t="str">
        <f t="shared" si="143"/>
        <v/>
      </c>
      <c r="P1286" t="str">
        <f t="shared" si="144"/>
        <v/>
      </c>
      <c r="Q1286" s="33" t="str">
        <f t="shared" si="145"/>
        <v/>
      </c>
      <c r="R1286" s="39" t="str">
        <f t="shared" si="146"/>
        <v/>
      </c>
    </row>
    <row r="1287" spans="6:18" x14ac:dyDescent="0.25">
      <c r="F1287" s="35">
        <v>1281</v>
      </c>
      <c r="L1287" s="33" t="str">
        <f t="shared" si="140"/>
        <v/>
      </c>
      <c r="M1287" t="str">
        <f t="shared" si="141"/>
        <v/>
      </c>
      <c r="N1287" s="33" t="str">
        <f t="shared" si="142"/>
        <v/>
      </c>
      <c r="O1287" s="33" t="str">
        <f t="shared" si="143"/>
        <v/>
      </c>
      <c r="P1287" t="str">
        <f t="shared" si="144"/>
        <v/>
      </c>
      <c r="Q1287" s="33" t="str">
        <f t="shared" si="145"/>
        <v/>
      </c>
      <c r="R1287" s="39" t="str">
        <f t="shared" si="146"/>
        <v/>
      </c>
    </row>
    <row r="1288" spans="6:18" x14ac:dyDescent="0.25">
      <c r="F1288" s="35">
        <v>1282</v>
      </c>
      <c r="L1288" s="33" t="str">
        <f t="shared" ref="L1288:L1351" si="147">IF(G1288="","",$C$4*$C$6*$C$7/360)</f>
        <v/>
      </c>
      <c r="M1288" t="str">
        <f t="shared" ref="M1288:M1351" si="148">IF(G1288="","",IF(H1288=$G$2,100,0))</f>
        <v/>
      </c>
      <c r="N1288" s="33" t="str">
        <f t="shared" ref="N1288:N1351" si="149">IF(G1288="","",L1288+M1288)</f>
        <v/>
      </c>
      <c r="O1288" s="33" t="str">
        <f t="shared" ref="O1288:O1351" si="150">IF(G1288="","",1/(1+$C$5*K1288/360)^(J1288/K1288))</f>
        <v/>
      </c>
      <c r="P1288" t="str">
        <f t="shared" ref="P1288:P1351" si="151">IF(G1288="","",H1288-$C$12)</f>
        <v/>
      </c>
      <c r="Q1288" s="33" t="str">
        <f t="shared" ref="Q1288:Q1351" si="152">IF(G1288="","",(P1288/K1288))</f>
        <v/>
      </c>
      <c r="R1288" s="39" t="str">
        <f t="shared" ref="R1288:R1351" si="153">IF(G1288="","",N1288*O1288)</f>
        <v/>
      </c>
    </row>
    <row r="1289" spans="6:18" x14ac:dyDescent="0.25">
      <c r="F1289" s="35">
        <v>1283</v>
      </c>
      <c r="L1289" s="33" t="str">
        <f t="shared" si="147"/>
        <v/>
      </c>
      <c r="M1289" t="str">
        <f t="shared" si="148"/>
        <v/>
      </c>
      <c r="N1289" s="33" t="str">
        <f t="shared" si="149"/>
        <v/>
      </c>
      <c r="O1289" s="33" t="str">
        <f t="shared" si="150"/>
        <v/>
      </c>
      <c r="P1289" t="str">
        <f t="shared" si="151"/>
        <v/>
      </c>
      <c r="Q1289" s="33" t="str">
        <f t="shared" si="152"/>
        <v/>
      </c>
      <c r="R1289" s="39" t="str">
        <f t="shared" si="153"/>
        <v/>
      </c>
    </row>
    <row r="1290" spans="6:18" x14ac:dyDescent="0.25">
      <c r="F1290" s="35">
        <v>1284</v>
      </c>
      <c r="L1290" s="33" t="str">
        <f t="shared" si="147"/>
        <v/>
      </c>
      <c r="M1290" t="str">
        <f t="shared" si="148"/>
        <v/>
      </c>
      <c r="N1290" s="33" t="str">
        <f t="shared" si="149"/>
        <v/>
      </c>
      <c r="O1290" s="33" t="str">
        <f t="shared" si="150"/>
        <v/>
      </c>
      <c r="P1290" t="str">
        <f t="shared" si="151"/>
        <v/>
      </c>
      <c r="Q1290" s="33" t="str">
        <f t="shared" si="152"/>
        <v/>
      </c>
      <c r="R1290" s="39" t="str">
        <f t="shared" si="153"/>
        <v/>
      </c>
    </row>
    <row r="1291" spans="6:18" x14ac:dyDescent="0.25">
      <c r="F1291" s="35">
        <v>1285</v>
      </c>
      <c r="L1291" s="33" t="str">
        <f t="shared" si="147"/>
        <v/>
      </c>
      <c r="M1291" t="str">
        <f t="shared" si="148"/>
        <v/>
      </c>
      <c r="N1291" s="33" t="str">
        <f t="shared" si="149"/>
        <v/>
      </c>
      <c r="O1291" s="33" t="str">
        <f t="shared" si="150"/>
        <v/>
      </c>
      <c r="P1291" t="str">
        <f t="shared" si="151"/>
        <v/>
      </c>
      <c r="Q1291" s="33" t="str">
        <f t="shared" si="152"/>
        <v/>
      </c>
      <c r="R1291" s="39" t="str">
        <f t="shared" si="153"/>
        <v/>
      </c>
    </row>
    <row r="1292" spans="6:18" x14ac:dyDescent="0.25">
      <c r="F1292" s="35">
        <v>1286</v>
      </c>
      <c r="L1292" s="33" t="str">
        <f t="shared" si="147"/>
        <v/>
      </c>
      <c r="M1292" t="str">
        <f t="shared" si="148"/>
        <v/>
      </c>
      <c r="N1292" s="33" t="str">
        <f t="shared" si="149"/>
        <v/>
      </c>
      <c r="O1292" s="33" t="str">
        <f t="shared" si="150"/>
        <v/>
      </c>
      <c r="P1292" t="str">
        <f t="shared" si="151"/>
        <v/>
      </c>
      <c r="Q1292" s="33" t="str">
        <f t="shared" si="152"/>
        <v/>
      </c>
      <c r="R1292" s="39" t="str">
        <f t="shared" si="153"/>
        <v/>
      </c>
    </row>
    <row r="1293" spans="6:18" x14ac:dyDescent="0.25">
      <c r="F1293" s="35">
        <v>1287</v>
      </c>
      <c r="L1293" s="33" t="str">
        <f t="shared" si="147"/>
        <v/>
      </c>
      <c r="M1293" t="str">
        <f t="shared" si="148"/>
        <v/>
      </c>
      <c r="N1293" s="33" t="str">
        <f t="shared" si="149"/>
        <v/>
      </c>
      <c r="O1293" s="33" t="str">
        <f t="shared" si="150"/>
        <v/>
      </c>
      <c r="P1293" t="str">
        <f t="shared" si="151"/>
        <v/>
      </c>
      <c r="Q1293" s="33" t="str">
        <f t="shared" si="152"/>
        <v/>
      </c>
      <c r="R1293" s="39" t="str">
        <f t="shared" si="153"/>
        <v/>
      </c>
    </row>
    <row r="1294" spans="6:18" x14ac:dyDescent="0.25">
      <c r="F1294" s="35">
        <v>1288</v>
      </c>
      <c r="L1294" s="33" t="str">
        <f t="shared" si="147"/>
        <v/>
      </c>
      <c r="M1294" t="str">
        <f t="shared" si="148"/>
        <v/>
      </c>
      <c r="N1294" s="33" t="str">
        <f t="shared" si="149"/>
        <v/>
      </c>
      <c r="O1294" s="33" t="str">
        <f t="shared" si="150"/>
        <v/>
      </c>
      <c r="P1294" t="str">
        <f t="shared" si="151"/>
        <v/>
      </c>
      <c r="Q1294" s="33" t="str">
        <f t="shared" si="152"/>
        <v/>
      </c>
      <c r="R1294" s="39" t="str">
        <f t="shared" si="153"/>
        <v/>
      </c>
    </row>
    <row r="1295" spans="6:18" x14ac:dyDescent="0.25">
      <c r="F1295" s="35">
        <v>1289</v>
      </c>
      <c r="L1295" s="33" t="str">
        <f t="shared" si="147"/>
        <v/>
      </c>
      <c r="M1295" t="str">
        <f t="shared" si="148"/>
        <v/>
      </c>
      <c r="N1295" s="33" t="str">
        <f t="shared" si="149"/>
        <v/>
      </c>
      <c r="O1295" s="33" t="str">
        <f t="shared" si="150"/>
        <v/>
      </c>
      <c r="P1295" t="str">
        <f t="shared" si="151"/>
        <v/>
      </c>
      <c r="Q1295" s="33" t="str">
        <f t="shared" si="152"/>
        <v/>
      </c>
      <c r="R1295" s="39" t="str">
        <f t="shared" si="153"/>
        <v/>
      </c>
    </row>
    <row r="1296" spans="6:18" x14ac:dyDescent="0.25">
      <c r="F1296" s="35">
        <v>1290</v>
      </c>
      <c r="L1296" s="33" t="str">
        <f t="shared" si="147"/>
        <v/>
      </c>
      <c r="M1296" t="str">
        <f t="shared" si="148"/>
        <v/>
      </c>
      <c r="N1296" s="33" t="str">
        <f t="shared" si="149"/>
        <v/>
      </c>
      <c r="O1296" s="33" t="str">
        <f t="shared" si="150"/>
        <v/>
      </c>
      <c r="P1296" t="str">
        <f t="shared" si="151"/>
        <v/>
      </c>
      <c r="Q1296" s="33" t="str">
        <f t="shared" si="152"/>
        <v/>
      </c>
      <c r="R1296" s="39" t="str">
        <f t="shared" si="153"/>
        <v/>
      </c>
    </row>
    <row r="1297" spans="6:18" x14ac:dyDescent="0.25">
      <c r="F1297" s="35">
        <v>1291</v>
      </c>
      <c r="L1297" s="33" t="str">
        <f t="shared" si="147"/>
        <v/>
      </c>
      <c r="M1297" t="str">
        <f t="shared" si="148"/>
        <v/>
      </c>
      <c r="N1297" s="33" t="str">
        <f t="shared" si="149"/>
        <v/>
      </c>
      <c r="O1297" s="33" t="str">
        <f t="shared" si="150"/>
        <v/>
      </c>
      <c r="P1297" t="str">
        <f t="shared" si="151"/>
        <v/>
      </c>
      <c r="Q1297" s="33" t="str">
        <f t="shared" si="152"/>
        <v/>
      </c>
      <c r="R1297" s="39" t="str">
        <f t="shared" si="153"/>
        <v/>
      </c>
    </row>
    <row r="1298" spans="6:18" x14ac:dyDescent="0.25">
      <c r="F1298" s="35">
        <v>1292</v>
      </c>
      <c r="L1298" s="33" t="str">
        <f t="shared" si="147"/>
        <v/>
      </c>
      <c r="M1298" t="str">
        <f t="shared" si="148"/>
        <v/>
      </c>
      <c r="N1298" s="33" t="str">
        <f t="shared" si="149"/>
        <v/>
      </c>
      <c r="O1298" s="33" t="str">
        <f t="shared" si="150"/>
        <v/>
      </c>
      <c r="P1298" t="str">
        <f t="shared" si="151"/>
        <v/>
      </c>
      <c r="Q1298" s="33" t="str">
        <f t="shared" si="152"/>
        <v/>
      </c>
      <c r="R1298" s="39" t="str">
        <f t="shared" si="153"/>
        <v/>
      </c>
    </row>
    <row r="1299" spans="6:18" x14ac:dyDescent="0.25">
      <c r="F1299" s="35">
        <v>1293</v>
      </c>
      <c r="L1299" s="33" t="str">
        <f t="shared" si="147"/>
        <v/>
      </c>
      <c r="M1299" t="str">
        <f t="shared" si="148"/>
        <v/>
      </c>
      <c r="N1299" s="33" t="str">
        <f t="shared" si="149"/>
        <v/>
      </c>
      <c r="O1299" s="33" t="str">
        <f t="shared" si="150"/>
        <v/>
      </c>
      <c r="P1299" t="str">
        <f t="shared" si="151"/>
        <v/>
      </c>
      <c r="Q1299" s="33" t="str">
        <f t="shared" si="152"/>
        <v/>
      </c>
      <c r="R1299" s="39" t="str">
        <f t="shared" si="153"/>
        <v/>
      </c>
    </row>
    <row r="1300" spans="6:18" x14ac:dyDescent="0.25">
      <c r="F1300" s="35">
        <v>1294</v>
      </c>
      <c r="L1300" s="33" t="str">
        <f t="shared" si="147"/>
        <v/>
      </c>
      <c r="M1300" t="str">
        <f t="shared" si="148"/>
        <v/>
      </c>
      <c r="N1300" s="33" t="str">
        <f t="shared" si="149"/>
        <v/>
      </c>
      <c r="O1300" s="33" t="str">
        <f t="shared" si="150"/>
        <v/>
      </c>
      <c r="P1300" t="str">
        <f t="shared" si="151"/>
        <v/>
      </c>
      <c r="Q1300" s="33" t="str">
        <f t="shared" si="152"/>
        <v/>
      </c>
      <c r="R1300" s="39" t="str">
        <f t="shared" si="153"/>
        <v/>
      </c>
    </row>
    <row r="1301" spans="6:18" x14ac:dyDescent="0.25">
      <c r="F1301" s="35">
        <v>1295</v>
      </c>
      <c r="L1301" s="33" t="str">
        <f t="shared" si="147"/>
        <v/>
      </c>
      <c r="M1301" t="str">
        <f t="shared" si="148"/>
        <v/>
      </c>
      <c r="N1301" s="33" t="str">
        <f t="shared" si="149"/>
        <v/>
      </c>
      <c r="O1301" s="33" t="str">
        <f t="shared" si="150"/>
        <v/>
      </c>
      <c r="P1301" t="str">
        <f t="shared" si="151"/>
        <v/>
      </c>
      <c r="Q1301" s="33" t="str">
        <f t="shared" si="152"/>
        <v/>
      </c>
      <c r="R1301" s="39" t="str">
        <f t="shared" si="153"/>
        <v/>
      </c>
    </row>
    <row r="1302" spans="6:18" x14ac:dyDescent="0.25">
      <c r="F1302" s="35">
        <v>1296</v>
      </c>
      <c r="L1302" s="33" t="str">
        <f t="shared" si="147"/>
        <v/>
      </c>
      <c r="M1302" t="str">
        <f t="shared" si="148"/>
        <v/>
      </c>
      <c r="N1302" s="33" t="str">
        <f t="shared" si="149"/>
        <v/>
      </c>
      <c r="O1302" s="33" t="str">
        <f t="shared" si="150"/>
        <v/>
      </c>
      <c r="P1302" t="str">
        <f t="shared" si="151"/>
        <v/>
      </c>
      <c r="Q1302" s="33" t="str">
        <f t="shared" si="152"/>
        <v/>
      </c>
      <c r="R1302" s="39" t="str">
        <f t="shared" si="153"/>
        <v/>
      </c>
    </row>
    <row r="1303" spans="6:18" x14ac:dyDescent="0.25">
      <c r="F1303" s="35">
        <v>1297</v>
      </c>
      <c r="L1303" s="33" t="str">
        <f t="shared" si="147"/>
        <v/>
      </c>
      <c r="M1303" t="str">
        <f t="shared" si="148"/>
        <v/>
      </c>
      <c r="N1303" s="33" t="str">
        <f t="shared" si="149"/>
        <v/>
      </c>
      <c r="O1303" s="33" t="str">
        <f t="shared" si="150"/>
        <v/>
      </c>
      <c r="P1303" t="str">
        <f t="shared" si="151"/>
        <v/>
      </c>
      <c r="Q1303" s="33" t="str">
        <f t="shared" si="152"/>
        <v/>
      </c>
      <c r="R1303" s="39" t="str">
        <f t="shared" si="153"/>
        <v/>
      </c>
    </row>
    <row r="1304" spans="6:18" x14ac:dyDescent="0.25">
      <c r="F1304" s="35">
        <v>1298</v>
      </c>
      <c r="L1304" s="33" t="str">
        <f t="shared" si="147"/>
        <v/>
      </c>
      <c r="M1304" t="str">
        <f t="shared" si="148"/>
        <v/>
      </c>
      <c r="N1304" s="33" t="str">
        <f t="shared" si="149"/>
        <v/>
      </c>
      <c r="O1304" s="33" t="str">
        <f t="shared" si="150"/>
        <v/>
      </c>
      <c r="P1304" t="str">
        <f t="shared" si="151"/>
        <v/>
      </c>
      <c r="Q1304" s="33" t="str">
        <f t="shared" si="152"/>
        <v/>
      </c>
      <c r="R1304" s="39" t="str">
        <f t="shared" si="153"/>
        <v/>
      </c>
    </row>
    <row r="1305" spans="6:18" x14ac:dyDescent="0.25">
      <c r="F1305" s="35">
        <v>1299</v>
      </c>
      <c r="L1305" s="33" t="str">
        <f t="shared" si="147"/>
        <v/>
      </c>
      <c r="M1305" t="str">
        <f t="shared" si="148"/>
        <v/>
      </c>
      <c r="N1305" s="33" t="str">
        <f t="shared" si="149"/>
        <v/>
      </c>
      <c r="O1305" s="33" t="str">
        <f t="shared" si="150"/>
        <v/>
      </c>
      <c r="P1305" t="str">
        <f t="shared" si="151"/>
        <v/>
      </c>
      <c r="Q1305" s="33" t="str">
        <f t="shared" si="152"/>
        <v/>
      </c>
      <c r="R1305" s="39" t="str">
        <f t="shared" si="153"/>
        <v/>
      </c>
    </row>
    <row r="1306" spans="6:18" x14ac:dyDescent="0.25">
      <c r="F1306" s="35">
        <v>1300</v>
      </c>
      <c r="L1306" s="33" t="str">
        <f t="shared" si="147"/>
        <v/>
      </c>
      <c r="M1306" t="str">
        <f t="shared" si="148"/>
        <v/>
      </c>
      <c r="N1306" s="33" t="str">
        <f t="shared" si="149"/>
        <v/>
      </c>
      <c r="O1306" s="33" t="str">
        <f t="shared" si="150"/>
        <v/>
      </c>
      <c r="P1306" t="str">
        <f t="shared" si="151"/>
        <v/>
      </c>
      <c r="Q1306" s="33" t="str">
        <f t="shared" si="152"/>
        <v/>
      </c>
      <c r="R1306" s="39" t="str">
        <f t="shared" si="153"/>
        <v/>
      </c>
    </row>
    <row r="1307" spans="6:18" x14ac:dyDescent="0.25">
      <c r="F1307" s="35">
        <v>1301</v>
      </c>
      <c r="L1307" s="33" t="str">
        <f t="shared" si="147"/>
        <v/>
      </c>
      <c r="M1307" t="str">
        <f t="shared" si="148"/>
        <v/>
      </c>
      <c r="N1307" s="33" t="str">
        <f t="shared" si="149"/>
        <v/>
      </c>
      <c r="O1307" s="33" t="str">
        <f t="shared" si="150"/>
        <v/>
      </c>
      <c r="P1307" t="str">
        <f t="shared" si="151"/>
        <v/>
      </c>
      <c r="Q1307" s="33" t="str">
        <f t="shared" si="152"/>
        <v/>
      </c>
      <c r="R1307" s="39" t="str">
        <f t="shared" si="153"/>
        <v/>
      </c>
    </row>
    <row r="1308" spans="6:18" x14ac:dyDescent="0.25">
      <c r="F1308" s="35">
        <v>1302</v>
      </c>
      <c r="L1308" s="33" t="str">
        <f t="shared" si="147"/>
        <v/>
      </c>
      <c r="M1308" t="str">
        <f t="shared" si="148"/>
        <v/>
      </c>
      <c r="N1308" s="33" t="str">
        <f t="shared" si="149"/>
        <v/>
      </c>
      <c r="O1308" s="33" t="str">
        <f t="shared" si="150"/>
        <v/>
      </c>
      <c r="P1308" t="str">
        <f t="shared" si="151"/>
        <v/>
      </c>
      <c r="Q1308" s="33" t="str">
        <f t="shared" si="152"/>
        <v/>
      </c>
      <c r="R1308" s="39" t="str">
        <f t="shared" si="153"/>
        <v/>
      </c>
    </row>
    <row r="1309" spans="6:18" x14ac:dyDescent="0.25">
      <c r="F1309" s="35">
        <v>1303</v>
      </c>
      <c r="L1309" s="33" t="str">
        <f t="shared" si="147"/>
        <v/>
      </c>
      <c r="M1309" t="str">
        <f t="shared" si="148"/>
        <v/>
      </c>
      <c r="N1309" s="33" t="str">
        <f t="shared" si="149"/>
        <v/>
      </c>
      <c r="O1309" s="33" t="str">
        <f t="shared" si="150"/>
        <v/>
      </c>
      <c r="P1309" t="str">
        <f t="shared" si="151"/>
        <v/>
      </c>
      <c r="Q1309" s="33" t="str">
        <f t="shared" si="152"/>
        <v/>
      </c>
      <c r="R1309" s="39" t="str">
        <f t="shared" si="153"/>
        <v/>
      </c>
    </row>
    <row r="1310" spans="6:18" x14ac:dyDescent="0.25">
      <c r="F1310" s="35">
        <v>1304</v>
      </c>
      <c r="L1310" s="33" t="str">
        <f t="shared" si="147"/>
        <v/>
      </c>
      <c r="M1310" t="str">
        <f t="shared" si="148"/>
        <v/>
      </c>
      <c r="N1310" s="33" t="str">
        <f t="shared" si="149"/>
        <v/>
      </c>
      <c r="O1310" s="33" t="str">
        <f t="shared" si="150"/>
        <v/>
      </c>
      <c r="P1310" t="str">
        <f t="shared" si="151"/>
        <v/>
      </c>
      <c r="Q1310" s="33" t="str">
        <f t="shared" si="152"/>
        <v/>
      </c>
      <c r="R1310" s="39" t="str">
        <f t="shared" si="153"/>
        <v/>
      </c>
    </row>
    <row r="1311" spans="6:18" x14ac:dyDescent="0.25">
      <c r="F1311" s="35">
        <v>1305</v>
      </c>
      <c r="L1311" s="33" t="str">
        <f t="shared" si="147"/>
        <v/>
      </c>
      <c r="M1311" t="str">
        <f t="shared" si="148"/>
        <v/>
      </c>
      <c r="N1311" s="33" t="str">
        <f t="shared" si="149"/>
        <v/>
      </c>
      <c r="O1311" s="33" t="str">
        <f t="shared" si="150"/>
        <v/>
      </c>
      <c r="P1311" t="str">
        <f t="shared" si="151"/>
        <v/>
      </c>
      <c r="Q1311" s="33" t="str">
        <f t="shared" si="152"/>
        <v/>
      </c>
      <c r="R1311" s="39" t="str">
        <f t="shared" si="153"/>
        <v/>
      </c>
    </row>
    <row r="1312" spans="6:18" x14ac:dyDescent="0.25">
      <c r="F1312" s="35">
        <v>1306</v>
      </c>
      <c r="L1312" s="33" t="str">
        <f t="shared" si="147"/>
        <v/>
      </c>
      <c r="M1312" t="str">
        <f t="shared" si="148"/>
        <v/>
      </c>
      <c r="N1312" s="33" t="str">
        <f t="shared" si="149"/>
        <v/>
      </c>
      <c r="O1312" s="33" t="str">
        <f t="shared" si="150"/>
        <v/>
      </c>
      <c r="P1312" t="str">
        <f t="shared" si="151"/>
        <v/>
      </c>
      <c r="Q1312" s="33" t="str">
        <f t="shared" si="152"/>
        <v/>
      </c>
      <c r="R1312" s="39" t="str">
        <f t="shared" si="153"/>
        <v/>
      </c>
    </row>
    <row r="1313" spans="6:18" x14ac:dyDescent="0.25">
      <c r="F1313" s="35">
        <v>1307</v>
      </c>
      <c r="L1313" s="33" t="str">
        <f t="shared" si="147"/>
        <v/>
      </c>
      <c r="M1313" t="str">
        <f t="shared" si="148"/>
        <v/>
      </c>
      <c r="N1313" s="33" t="str">
        <f t="shared" si="149"/>
        <v/>
      </c>
      <c r="O1313" s="33" t="str">
        <f t="shared" si="150"/>
        <v/>
      </c>
      <c r="P1313" t="str">
        <f t="shared" si="151"/>
        <v/>
      </c>
      <c r="Q1313" s="33" t="str">
        <f t="shared" si="152"/>
        <v/>
      </c>
      <c r="R1313" s="39" t="str">
        <f t="shared" si="153"/>
        <v/>
      </c>
    </row>
    <row r="1314" spans="6:18" x14ac:dyDescent="0.25">
      <c r="F1314" s="35">
        <v>1308</v>
      </c>
      <c r="L1314" s="33" t="str">
        <f t="shared" si="147"/>
        <v/>
      </c>
      <c r="M1314" t="str">
        <f t="shared" si="148"/>
        <v/>
      </c>
      <c r="N1314" s="33" t="str">
        <f t="shared" si="149"/>
        <v/>
      </c>
      <c r="O1314" s="33" t="str">
        <f t="shared" si="150"/>
        <v/>
      </c>
      <c r="P1314" t="str">
        <f t="shared" si="151"/>
        <v/>
      </c>
      <c r="Q1314" s="33" t="str">
        <f t="shared" si="152"/>
        <v/>
      </c>
      <c r="R1314" s="39" t="str">
        <f t="shared" si="153"/>
        <v/>
      </c>
    </row>
    <row r="1315" spans="6:18" x14ac:dyDescent="0.25">
      <c r="F1315" s="35">
        <v>1309</v>
      </c>
      <c r="L1315" s="33" t="str">
        <f t="shared" si="147"/>
        <v/>
      </c>
      <c r="M1315" t="str">
        <f t="shared" si="148"/>
        <v/>
      </c>
      <c r="N1315" s="33" t="str">
        <f t="shared" si="149"/>
        <v/>
      </c>
      <c r="O1315" s="33" t="str">
        <f t="shared" si="150"/>
        <v/>
      </c>
      <c r="P1315" t="str">
        <f t="shared" si="151"/>
        <v/>
      </c>
      <c r="Q1315" s="33" t="str">
        <f t="shared" si="152"/>
        <v/>
      </c>
      <c r="R1315" s="39" t="str">
        <f t="shared" si="153"/>
        <v/>
      </c>
    </row>
    <row r="1316" spans="6:18" x14ac:dyDescent="0.25">
      <c r="F1316" s="35">
        <v>1310</v>
      </c>
      <c r="L1316" s="33" t="str">
        <f t="shared" si="147"/>
        <v/>
      </c>
      <c r="M1316" t="str">
        <f t="shared" si="148"/>
        <v/>
      </c>
      <c r="N1316" s="33" t="str">
        <f t="shared" si="149"/>
        <v/>
      </c>
      <c r="O1316" s="33" t="str">
        <f t="shared" si="150"/>
        <v/>
      </c>
      <c r="P1316" t="str">
        <f t="shared" si="151"/>
        <v/>
      </c>
      <c r="Q1316" s="33" t="str">
        <f t="shared" si="152"/>
        <v/>
      </c>
      <c r="R1316" s="39" t="str">
        <f t="shared" si="153"/>
        <v/>
      </c>
    </row>
    <row r="1317" spans="6:18" x14ac:dyDescent="0.25">
      <c r="F1317" s="35">
        <v>1311</v>
      </c>
      <c r="L1317" s="33" t="str">
        <f t="shared" si="147"/>
        <v/>
      </c>
      <c r="M1317" t="str">
        <f t="shared" si="148"/>
        <v/>
      </c>
      <c r="N1317" s="33" t="str">
        <f t="shared" si="149"/>
        <v/>
      </c>
      <c r="O1317" s="33" t="str">
        <f t="shared" si="150"/>
        <v/>
      </c>
      <c r="P1317" t="str">
        <f t="shared" si="151"/>
        <v/>
      </c>
      <c r="Q1317" s="33" t="str">
        <f t="shared" si="152"/>
        <v/>
      </c>
      <c r="R1317" s="39" t="str">
        <f t="shared" si="153"/>
        <v/>
      </c>
    </row>
    <row r="1318" spans="6:18" x14ac:dyDescent="0.25">
      <c r="F1318" s="35">
        <v>1312</v>
      </c>
      <c r="L1318" s="33" t="str">
        <f t="shared" si="147"/>
        <v/>
      </c>
      <c r="M1318" t="str">
        <f t="shared" si="148"/>
        <v/>
      </c>
      <c r="N1318" s="33" t="str">
        <f t="shared" si="149"/>
        <v/>
      </c>
      <c r="O1318" s="33" t="str">
        <f t="shared" si="150"/>
        <v/>
      </c>
      <c r="P1318" t="str">
        <f t="shared" si="151"/>
        <v/>
      </c>
      <c r="Q1318" s="33" t="str">
        <f t="shared" si="152"/>
        <v/>
      </c>
      <c r="R1318" s="39" t="str">
        <f t="shared" si="153"/>
        <v/>
      </c>
    </row>
    <row r="1319" spans="6:18" x14ac:dyDescent="0.25">
      <c r="F1319" s="35">
        <v>1313</v>
      </c>
      <c r="L1319" s="33" t="str">
        <f t="shared" si="147"/>
        <v/>
      </c>
      <c r="M1319" t="str">
        <f t="shared" si="148"/>
        <v/>
      </c>
      <c r="N1319" s="33" t="str">
        <f t="shared" si="149"/>
        <v/>
      </c>
      <c r="O1319" s="33" t="str">
        <f t="shared" si="150"/>
        <v/>
      </c>
      <c r="P1319" t="str">
        <f t="shared" si="151"/>
        <v/>
      </c>
      <c r="Q1319" s="33" t="str">
        <f t="shared" si="152"/>
        <v/>
      </c>
      <c r="R1319" s="39" t="str">
        <f t="shared" si="153"/>
        <v/>
      </c>
    </row>
    <row r="1320" spans="6:18" x14ac:dyDescent="0.25">
      <c r="F1320" s="35">
        <v>1314</v>
      </c>
      <c r="L1320" s="33" t="str">
        <f t="shared" si="147"/>
        <v/>
      </c>
      <c r="M1320" t="str">
        <f t="shared" si="148"/>
        <v/>
      </c>
      <c r="N1320" s="33" t="str">
        <f t="shared" si="149"/>
        <v/>
      </c>
      <c r="O1320" s="33" t="str">
        <f t="shared" si="150"/>
        <v/>
      </c>
      <c r="P1320" t="str">
        <f t="shared" si="151"/>
        <v/>
      </c>
      <c r="Q1320" s="33" t="str">
        <f t="shared" si="152"/>
        <v/>
      </c>
      <c r="R1320" s="39" t="str">
        <f t="shared" si="153"/>
        <v/>
      </c>
    </row>
    <row r="1321" spans="6:18" x14ac:dyDescent="0.25">
      <c r="F1321" s="35">
        <v>1315</v>
      </c>
      <c r="L1321" s="33" t="str">
        <f t="shared" si="147"/>
        <v/>
      </c>
      <c r="M1321" t="str">
        <f t="shared" si="148"/>
        <v/>
      </c>
      <c r="N1321" s="33" t="str">
        <f t="shared" si="149"/>
        <v/>
      </c>
      <c r="O1321" s="33" t="str">
        <f t="shared" si="150"/>
        <v/>
      </c>
      <c r="P1321" t="str">
        <f t="shared" si="151"/>
        <v/>
      </c>
      <c r="Q1321" s="33" t="str">
        <f t="shared" si="152"/>
        <v/>
      </c>
      <c r="R1321" s="39" t="str">
        <f t="shared" si="153"/>
        <v/>
      </c>
    </row>
    <row r="1322" spans="6:18" x14ac:dyDescent="0.25">
      <c r="F1322" s="35">
        <v>1316</v>
      </c>
      <c r="L1322" s="33" t="str">
        <f t="shared" si="147"/>
        <v/>
      </c>
      <c r="M1322" t="str">
        <f t="shared" si="148"/>
        <v/>
      </c>
      <c r="N1322" s="33" t="str">
        <f t="shared" si="149"/>
        <v/>
      </c>
      <c r="O1322" s="33" t="str">
        <f t="shared" si="150"/>
        <v/>
      </c>
      <c r="P1322" t="str">
        <f t="shared" si="151"/>
        <v/>
      </c>
      <c r="Q1322" s="33" t="str">
        <f t="shared" si="152"/>
        <v/>
      </c>
      <c r="R1322" s="39" t="str">
        <f t="shared" si="153"/>
        <v/>
      </c>
    </row>
    <row r="1323" spans="6:18" x14ac:dyDescent="0.25">
      <c r="F1323" s="35">
        <v>1317</v>
      </c>
      <c r="L1323" s="33" t="str">
        <f t="shared" si="147"/>
        <v/>
      </c>
      <c r="M1323" t="str">
        <f t="shared" si="148"/>
        <v/>
      </c>
      <c r="N1323" s="33" t="str">
        <f t="shared" si="149"/>
        <v/>
      </c>
      <c r="O1323" s="33" t="str">
        <f t="shared" si="150"/>
        <v/>
      </c>
      <c r="P1323" t="str">
        <f t="shared" si="151"/>
        <v/>
      </c>
      <c r="Q1323" s="33" t="str">
        <f t="shared" si="152"/>
        <v/>
      </c>
      <c r="R1323" s="39" t="str">
        <f t="shared" si="153"/>
        <v/>
      </c>
    </row>
    <row r="1324" spans="6:18" x14ac:dyDescent="0.25">
      <c r="F1324" s="35">
        <v>1318</v>
      </c>
      <c r="L1324" s="33" t="str">
        <f t="shared" si="147"/>
        <v/>
      </c>
      <c r="M1324" t="str">
        <f t="shared" si="148"/>
        <v/>
      </c>
      <c r="N1324" s="33" t="str">
        <f t="shared" si="149"/>
        <v/>
      </c>
      <c r="O1324" s="33" t="str">
        <f t="shared" si="150"/>
        <v/>
      </c>
      <c r="P1324" t="str">
        <f t="shared" si="151"/>
        <v/>
      </c>
      <c r="Q1324" s="33" t="str">
        <f t="shared" si="152"/>
        <v/>
      </c>
      <c r="R1324" s="39" t="str">
        <f t="shared" si="153"/>
        <v/>
      </c>
    </row>
    <row r="1325" spans="6:18" x14ac:dyDescent="0.25">
      <c r="F1325" s="35">
        <v>1319</v>
      </c>
      <c r="L1325" s="33" t="str">
        <f t="shared" si="147"/>
        <v/>
      </c>
      <c r="M1325" t="str">
        <f t="shared" si="148"/>
        <v/>
      </c>
      <c r="N1325" s="33" t="str">
        <f t="shared" si="149"/>
        <v/>
      </c>
      <c r="O1325" s="33" t="str">
        <f t="shared" si="150"/>
        <v/>
      </c>
      <c r="P1325" t="str">
        <f t="shared" si="151"/>
        <v/>
      </c>
      <c r="Q1325" s="33" t="str">
        <f t="shared" si="152"/>
        <v/>
      </c>
      <c r="R1325" s="39" t="str">
        <f t="shared" si="153"/>
        <v/>
      </c>
    </row>
    <row r="1326" spans="6:18" x14ac:dyDescent="0.25">
      <c r="F1326" s="35">
        <v>1320</v>
      </c>
      <c r="L1326" s="33" t="str">
        <f t="shared" si="147"/>
        <v/>
      </c>
      <c r="M1326" t="str">
        <f t="shared" si="148"/>
        <v/>
      </c>
      <c r="N1326" s="33" t="str">
        <f t="shared" si="149"/>
        <v/>
      </c>
      <c r="O1326" s="33" t="str">
        <f t="shared" si="150"/>
        <v/>
      </c>
      <c r="P1326" t="str">
        <f t="shared" si="151"/>
        <v/>
      </c>
      <c r="Q1326" s="33" t="str">
        <f t="shared" si="152"/>
        <v/>
      </c>
      <c r="R1326" s="39" t="str">
        <f t="shared" si="153"/>
        <v/>
      </c>
    </row>
    <row r="1327" spans="6:18" x14ac:dyDescent="0.25">
      <c r="F1327" s="35">
        <v>1321</v>
      </c>
      <c r="L1327" s="33" t="str">
        <f t="shared" si="147"/>
        <v/>
      </c>
      <c r="M1327" t="str">
        <f t="shared" si="148"/>
        <v/>
      </c>
      <c r="N1327" s="33" t="str">
        <f t="shared" si="149"/>
        <v/>
      </c>
      <c r="O1327" s="33" t="str">
        <f t="shared" si="150"/>
        <v/>
      </c>
      <c r="P1327" t="str">
        <f t="shared" si="151"/>
        <v/>
      </c>
      <c r="Q1327" s="33" t="str">
        <f t="shared" si="152"/>
        <v/>
      </c>
      <c r="R1327" s="39" t="str">
        <f t="shared" si="153"/>
        <v/>
      </c>
    </row>
    <row r="1328" spans="6:18" x14ac:dyDescent="0.25">
      <c r="F1328" s="35">
        <v>1322</v>
      </c>
      <c r="L1328" s="33" t="str">
        <f t="shared" si="147"/>
        <v/>
      </c>
      <c r="M1328" t="str">
        <f t="shared" si="148"/>
        <v/>
      </c>
      <c r="N1328" s="33" t="str">
        <f t="shared" si="149"/>
        <v/>
      </c>
      <c r="O1328" s="33" t="str">
        <f t="shared" si="150"/>
        <v/>
      </c>
      <c r="P1328" t="str">
        <f t="shared" si="151"/>
        <v/>
      </c>
      <c r="Q1328" s="33" t="str">
        <f t="shared" si="152"/>
        <v/>
      </c>
      <c r="R1328" s="39" t="str">
        <f t="shared" si="153"/>
        <v/>
      </c>
    </row>
    <row r="1329" spans="6:18" x14ac:dyDescent="0.25">
      <c r="F1329" s="35">
        <v>1323</v>
      </c>
      <c r="L1329" s="33" t="str">
        <f t="shared" si="147"/>
        <v/>
      </c>
      <c r="M1329" t="str">
        <f t="shared" si="148"/>
        <v/>
      </c>
      <c r="N1329" s="33" t="str">
        <f t="shared" si="149"/>
        <v/>
      </c>
      <c r="O1329" s="33" t="str">
        <f t="shared" si="150"/>
        <v/>
      </c>
      <c r="P1329" t="str">
        <f t="shared" si="151"/>
        <v/>
      </c>
      <c r="Q1329" s="33" t="str">
        <f t="shared" si="152"/>
        <v/>
      </c>
      <c r="R1329" s="39" t="str">
        <f t="shared" si="153"/>
        <v/>
      </c>
    </row>
    <row r="1330" spans="6:18" x14ac:dyDescent="0.25">
      <c r="F1330" s="35">
        <v>1324</v>
      </c>
      <c r="L1330" s="33" t="str">
        <f t="shared" si="147"/>
        <v/>
      </c>
      <c r="M1330" t="str">
        <f t="shared" si="148"/>
        <v/>
      </c>
      <c r="N1330" s="33" t="str">
        <f t="shared" si="149"/>
        <v/>
      </c>
      <c r="O1330" s="33" t="str">
        <f t="shared" si="150"/>
        <v/>
      </c>
      <c r="P1330" t="str">
        <f t="shared" si="151"/>
        <v/>
      </c>
      <c r="Q1330" s="33" t="str">
        <f t="shared" si="152"/>
        <v/>
      </c>
      <c r="R1330" s="39" t="str">
        <f t="shared" si="153"/>
        <v/>
      </c>
    </row>
    <row r="1331" spans="6:18" x14ac:dyDescent="0.25">
      <c r="F1331" s="35">
        <v>1325</v>
      </c>
      <c r="L1331" s="33" t="str">
        <f t="shared" si="147"/>
        <v/>
      </c>
      <c r="M1331" t="str">
        <f t="shared" si="148"/>
        <v/>
      </c>
      <c r="N1331" s="33" t="str">
        <f t="shared" si="149"/>
        <v/>
      </c>
      <c r="O1331" s="33" t="str">
        <f t="shared" si="150"/>
        <v/>
      </c>
      <c r="P1331" t="str">
        <f t="shared" si="151"/>
        <v/>
      </c>
      <c r="Q1331" s="33" t="str">
        <f t="shared" si="152"/>
        <v/>
      </c>
      <c r="R1331" s="39" t="str">
        <f t="shared" si="153"/>
        <v/>
      </c>
    </row>
    <row r="1332" spans="6:18" x14ac:dyDescent="0.25">
      <c r="F1332" s="35">
        <v>1326</v>
      </c>
      <c r="L1332" s="33" t="str">
        <f t="shared" si="147"/>
        <v/>
      </c>
      <c r="M1332" t="str">
        <f t="shared" si="148"/>
        <v/>
      </c>
      <c r="N1332" s="33" t="str">
        <f t="shared" si="149"/>
        <v/>
      </c>
      <c r="O1332" s="33" t="str">
        <f t="shared" si="150"/>
        <v/>
      </c>
      <c r="P1332" t="str">
        <f t="shared" si="151"/>
        <v/>
      </c>
      <c r="Q1332" s="33" t="str">
        <f t="shared" si="152"/>
        <v/>
      </c>
      <c r="R1332" s="39" t="str">
        <f t="shared" si="153"/>
        <v/>
      </c>
    </row>
    <row r="1333" spans="6:18" x14ac:dyDescent="0.25">
      <c r="F1333" s="35">
        <v>1327</v>
      </c>
      <c r="L1333" s="33" t="str">
        <f t="shared" si="147"/>
        <v/>
      </c>
      <c r="M1333" t="str">
        <f t="shared" si="148"/>
        <v/>
      </c>
      <c r="N1333" s="33" t="str">
        <f t="shared" si="149"/>
        <v/>
      </c>
      <c r="O1333" s="33" t="str">
        <f t="shared" si="150"/>
        <v/>
      </c>
      <c r="P1333" t="str">
        <f t="shared" si="151"/>
        <v/>
      </c>
      <c r="Q1333" s="33" t="str">
        <f t="shared" si="152"/>
        <v/>
      </c>
      <c r="R1333" s="39" t="str">
        <f t="shared" si="153"/>
        <v/>
      </c>
    </row>
    <row r="1334" spans="6:18" x14ac:dyDescent="0.25">
      <c r="F1334" s="35">
        <v>1328</v>
      </c>
      <c r="L1334" s="33" t="str">
        <f t="shared" si="147"/>
        <v/>
      </c>
      <c r="M1334" t="str">
        <f t="shared" si="148"/>
        <v/>
      </c>
      <c r="N1334" s="33" t="str">
        <f t="shared" si="149"/>
        <v/>
      </c>
      <c r="O1334" s="33" t="str">
        <f t="shared" si="150"/>
        <v/>
      </c>
      <c r="P1334" t="str">
        <f t="shared" si="151"/>
        <v/>
      </c>
      <c r="Q1334" s="33" t="str">
        <f t="shared" si="152"/>
        <v/>
      </c>
      <c r="R1334" s="39" t="str">
        <f t="shared" si="153"/>
        <v/>
      </c>
    </row>
    <row r="1335" spans="6:18" x14ac:dyDescent="0.25">
      <c r="F1335" s="35">
        <v>1329</v>
      </c>
      <c r="L1335" s="33" t="str">
        <f t="shared" si="147"/>
        <v/>
      </c>
      <c r="M1335" t="str">
        <f t="shared" si="148"/>
        <v/>
      </c>
      <c r="N1335" s="33" t="str">
        <f t="shared" si="149"/>
        <v/>
      </c>
      <c r="O1335" s="33" t="str">
        <f t="shared" si="150"/>
        <v/>
      </c>
      <c r="P1335" t="str">
        <f t="shared" si="151"/>
        <v/>
      </c>
      <c r="Q1335" s="33" t="str">
        <f t="shared" si="152"/>
        <v/>
      </c>
      <c r="R1335" s="39" t="str">
        <f t="shared" si="153"/>
        <v/>
      </c>
    </row>
    <row r="1336" spans="6:18" x14ac:dyDescent="0.25">
      <c r="F1336" s="35">
        <v>1330</v>
      </c>
      <c r="L1336" s="33" t="str">
        <f t="shared" si="147"/>
        <v/>
      </c>
      <c r="M1336" t="str">
        <f t="shared" si="148"/>
        <v/>
      </c>
      <c r="N1336" s="33" t="str">
        <f t="shared" si="149"/>
        <v/>
      </c>
      <c r="O1336" s="33" t="str">
        <f t="shared" si="150"/>
        <v/>
      </c>
      <c r="P1336" t="str">
        <f t="shared" si="151"/>
        <v/>
      </c>
      <c r="Q1336" s="33" t="str">
        <f t="shared" si="152"/>
        <v/>
      </c>
      <c r="R1336" s="39" t="str">
        <f t="shared" si="153"/>
        <v/>
      </c>
    </row>
    <row r="1337" spans="6:18" x14ac:dyDescent="0.25">
      <c r="F1337" s="35">
        <v>1331</v>
      </c>
      <c r="L1337" s="33" t="str">
        <f t="shared" si="147"/>
        <v/>
      </c>
      <c r="M1337" t="str">
        <f t="shared" si="148"/>
        <v/>
      </c>
      <c r="N1337" s="33" t="str">
        <f t="shared" si="149"/>
        <v/>
      </c>
      <c r="O1337" s="33" t="str">
        <f t="shared" si="150"/>
        <v/>
      </c>
      <c r="P1337" t="str">
        <f t="shared" si="151"/>
        <v/>
      </c>
      <c r="Q1337" s="33" t="str">
        <f t="shared" si="152"/>
        <v/>
      </c>
      <c r="R1337" s="39" t="str">
        <f t="shared" si="153"/>
        <v/>
      </c>
    </row>
    <row r="1338" spans="6:18" x14ac:dyDescent="0.25">
      <c r="F1338" s="35">
        <v>1332</v>
      </c>
      <c r="L1338" s="33" t="str">
        <f t="shared" si="147"/>
        <v/>
      </c>
      <c r="M1338" t="str">
        <f t="shared" si="148"/>
        <v/>
      </c>
      <c r="N1338" s="33" t="str">
        <f t="shared" si="149"/>
        <v/>
      </c>
      <c r="O1338" s="33" t="str">
        <f t="shared" si="150"/>
        <v/>
      </c>
      <c r="P1338" t="str">
        <f t="shared" si="151"/>
        <v/>
      </c>
      <c r="Q1338" s="33" t="str">
        <f t="shared" si="152"/>
        <v/>
      </c>
      <c r="R1338" s="39" t="str">
        <f t="shared" si="153"/>
        <v/>
      </c>
    </row>
    <row r="1339" spans="6:18" x14ac:dyDescent="0.25">
      <c r="F1339" s="35">
        <v>1333</v>
      </c>
      <c r="L1339" s="33" t="str">
        <f t="shared" si="147"/>
        <v/>
      </c>
      <c r="M1339" t="str">
        <f t="shared" si="148"/>
        <v/>
      </c>
      <c r="N1339" s="33" t="str">
        <f t="shared" si="149"/>
        <v/>
      </c>
      <c r="O1339" s="33" t="str">
        <f t="shared" si="150"/>
        <v/>
      </c>
      <c r="P1339" t="str">
        <f t="shared" si="151"/>
        <v/>
      </c>
      <c r="Q1339" s="33" t="str">
        <f t="shared" si="152"/>
        <v/>
      </c>
      <c r="R1339" s="39" t="str">
        <f t="shared" si="153"/>
        <v/>
      </c>
    </row>
    <row r="1340" spans="6:18" x14ac:dyDescent="0.25">
      <c r="F1340" s="35">
        <v>1334</v>
      </c>
      <c r="L1340" s="33" t="str">
        <f t="shared" si="147"/>
        <v/>
      </c>
      <c r="M1340" t="str">
        <f t="shared" si="148"/>
        <v/>
      </c>
      <c r="N1340" s="33" t="str">
        <f t="shared" si="149"/>
        <v/>
      </c>
      <c r="O1340" s="33" t="str">
        <f t="shared" si="150"/>
        <v/>
      </c>
      <c r="P1340" t="str">
        <f t="shared" si="151"/>
        <v/>
      </c>
      <c r="Q1340" s="33" t="str">
        <f t="shared" si="152"/>
        <v/>
      </c>
      <c r="R1340" s="39" t="str">
        <f t="shared" si="153"/>
        <v/>
      </c>
    </row>
    <row r="1341" spans="6:18" x14ac:dyDescent="0.25">
      <c r="F1341" s="35">
        <v>1335</v>
      </c>
      <c r="L1341" s="33" t="str">
        <f t="shared" si="147"/>
        <v/>
      </c>
      <c r="M1341" t="str">
        <f t="shared" si="148"/>
        <v/>
      </c>
      <c r="N1341" s="33" t="str">
        <f t="shared" si="149"/>
        <v/>
      </c>
      <c r="O1341" s="33" t="str">
        <f t="shared" si="150"/>
        <v/>
      </c>
      <c r="P1341" t="str">
        <f t="shared" si="151"/>
        <v/>
      </c>
      <c r="Q1341" s="33" t="str">
        <f t="shared" si="152"/>
        <v/>
      </c>
      <c r="R1341" s="39" t="str">
        <f t="shared" si="153"/>
        <v/>
      </c>
    </row>
    <row r="1342" spans="6:18" x14ac:dyDescent="0.25">
      <c r="F1342" s="35">
        <v>1336</v>
      </c>
      <c r="L1342" s="33" t="str">
        <f t="shared" si="147"/>
        <v/>
      </c>
      <c r="M1342" t="str">
        <f t="shared" si="148"/>
        <v/>
      </c>
      <c r="N1342" s="33" t="str">
        <f t="shared" si="149"/>
        <v/>
      </c>
      <c r="O1342" s="33" t="str">
        <f t="shared" si="150"/>
        <v/>
      </c>
      <c r="P1342" t="str">
        <f t="shared" si="151"/>
        <v/>
      </c>
      <c r="Q1342" s="33" t="str">
        <f t="shared" si="152"/>
        <v/>
      </c>
      <c r="R1342" s="39" t="str">
        <f t="shared" si="153"/>
        <v/>
      </c>
    </row>
    <row r="1343" spans="6:18" x14ac:dyDescent="0.25">
      <c r="F1343" s="35">
        <v>1337</v>
      </c>
      <c r="L1343" s="33" t="str">
        <f t="shared" si="147"/>
        <v/>
      </c>
      <c r="M1343" t="str">
        <f t="shared" si="148"/>
        <v/>
      </c>
      <c r="N1343" s="33" t="str">
        <f t="shared" si="149"/>
        <v/>
      </c>
      <c r="O1343" s="33" t="str">
        <f t="shared" si="150"/>
        <v/>
      </c>
      <c r="P1343" t="str">
        <f t="shared" si="151"/>
        <v/>
      </c>
      <c r="Q1343" s="33" t="str">
        <f t="shared" si="152"/>
        <v/>
      </c>
      <c r="R1343" s="39" t="str">
        <f t="shared" si="153"/>
        <v/>
      </c>
    </row>
    <row r="1344" spans="6:18" x14ac:dyDescent="0.25">
      <c r="F1344" s="35">
        <v>1338</v>
      </c>
      <c r="L1344" s="33" t="str">
        <f t="shared" si="147"/>
        <v/>
      </c>
      <c r="M1344" t="str">
        <f t="shared" si="148"/>
        <v/>
      </c>
      <c r="N1344" s="33" t="str">
        <f t="shared" si="149"/>
        <v/>
      </c>
      <c r="O1344" s="33" t="str">
        <f t="shared" si="150"/>
        <v/>
      </c>
      <c r="P1344" t="str">
        <f t="shared" si="151"/>
        <v/>
      </c>
      <c r="Q1344" s="33" t="str">
        <f t="shared" si="152"/>
        <v/>
      </c>
      <c r="R1344" s="39" t="str">
        <f t="shared" si="153"/>
        <v/>
      </c>
    </row>
    <row r="1345" spans="6:18" x14ac:dyDescent="0.25">
      <c r="F1345" s="35">
        <v>1339</v>
      </c>
      <c r="L1345" s="33" t="str">
        <f t="shared" si="147"/>
        <v/>
      </c>
      <c r="M1345" t="str">
        <f t="shared" si="148"/>
        <v/>
      </c>
      <c r="N1345" s="33" t="str">
        <f t="shared" si="149"/>
        <v/>
      </c>
      <c r="O1345" s="33" t="str">
        <f t="shared" si="150"/>
        <v/>
      </c>
      <c r="P1345" t="str">
        <f t="shared" si="151"/>
        <v/>
      </c>
      <c r="Q1345" s="33" t="str">
        <f t="shared" si="152"/>
        <v/>
      </c>
      <c r="R1345" s="39" t="str">
        <f t="shared" si="153"/>
        <v/>
      </c>
    </row>
    <row r="1346" spans="6:18" x14ac:dyDescent="0.25">
      <c r="F1346" s="35">
        <v>1340</v>
      </c>
      <c r="L1346" s="33" t="str">
        <f t="shared" si="147"/>
        <v/>
      </c>
      <c r="M1346" t="str">
        <f t="shared" si="148"/>
        <v/>
      </c>
      <c r="N1346" s="33" t="str">
        <f t="shared" si="149"/>
        <v/>
      </c>
      <c r="O1346" s="33" t="str">
        <f t="shared" si="150"/>
        <v/>
      </c>
      <c r="P1346" t="str">
        <f t="shared" si="151"/>
        <v/>
      </c>
      <c r="Q1346" s="33" t="str">
        <f t="shared" si="152"/>
        <v/>
      </c>
      <c r="R1346" s="39" t="str">
        <f t="shared" si="153"/>
        <v/>
      </c>
    </row>
    <row r="1347" spans="6:18" x14ac:dyDescent="0.25">
      <c r="F1347" s="35">
        <v>1341</v>
      </c>
      <c r="L1347" s="33" t="str">
        <f t="shared" si="147"/>
        <v/>
      </c>
      <c r="M1347" t="str">
        <f t="shared" si="148"/>
        <v/>
      </c>
      <c r="N1347" s="33" t="str">
        <f t="shared" si="149"/>
        <v/>
      </c>
      <c r="O1347" s="33" t="str">
        <f t="shared" si="150"/>
        <v/>
      </c>
      <c r="P1347" t="str">
        <f t="shared" si="151"/>
        <v/>
      </c>
      <c r="Q1347" s="33" t="str">
        <f t="shared" si="152"/>
        <v/>
      </c>
      <c r="R1347" s="39" t="str">
        <f t="shared" si="153"/>
        <v/>
      </c>
    </row>
    <row r="1348" spans="6:18" x14ac:dyDescent="0.25">
      <c r="F1348" s="35">
        <v>1342</v>
      </c>
      <c r="L1348" s="33" t="str">
        <f t="shared" si="147"/>
        <v/>
      </c>
      <c r="M1348" t="str">
        <f t="shared" si="148"/>
        <v/>
      </c>
      <c r="N1348" s="33" t="str">
        <f t="shared" si="149"/>
        <v/>
      </c>
      <c r="O1348" s="33" t="str">
        <f t="shared" si="150"/>
        <v/>
      </c>
      <c r="P1348" t="str">
        <f t="shared" si="151"/>
        <v/>
      </c>
      <c r="Q1348" s="33" t="str">
        <f t="shared" si="152"/>
        <v/>
      </c>
      <c r="R1348" s="39" t="str">
        <f t="shared" si="153"/>
        <v/>
      </c>
    </row>
    <row r="1349" spans="6:18" x14ac:dyDescent="0.25">
      <c r="F1349" s="35">
        <v>1343</v>
      </c>
      <c r="L1349" s="33" t="str">
        <f t="shared" si="147"/>
        <v/>
      </c>
      <c r="M1349" t="str">
        <f t="shared" si="148"/>
        <v/>
      </c>
      <c r="N1349" s="33" t="str">
        <f t="shared" si="149"/>
        <v/>
      </c>
      <c r="O1349" s="33" t="str">
        <f t="shared" si="150"/>
        <v/>
      </c>
      <c r="P1349" t="str">
        <f t="shared" si="151"/>
        <v/>
      </c>
      <c r="Q1349" s="33" t="str">
        <f t="shared" si="152"/>
        <v/>
      </c>
      <c r="R1349" s="39" t="str">
        <f t="shared" si="153"/>
        <v/>
      </c>
    </row>
    <row r="1350" spans="6:18" x14ac:dyDescent="0.25">
      <c r="F1350" s="35">
        <v>1344</v>
      </c>
      <c r="L1350" s="33" t="str">
        <f t="shared" si="147"/>
        <v/>
      </c>
      <c r="M1350" t="str">
        <f t="shared" si="148"/>
        <v/>
      </c>
      <c r="N1350" s="33" t="str">
        <f t="shared" si="149"/>
        <v/>
      </c>
      <c r="O1350" s="33" t="str">
        <f t="shared" si="150"/>
        <v/>
      </c>
      <c r="P1350" t="str">
        <f t="shared" si="151"/>
        <v/>
      </c>
      <c r="Q1350" s="33" t="str">
        <f t="shared" si="152"/>
        <v/>
      </c>
      <c r="R1350" s="39" t="str">
        <f t="shared" si="153"/>
        <v/>
      </c>
    </row>
    <row r="1351" spans="6:18" x14ac:dyDescent="0.25">
      <c r="F1351" s="35">
        <v>1345</v>
      </c>
      <c r="L1351" s="33" t="str">
        <f t="shared" si="147"/>
        <v/>
      </c>
      <c r="M1351" t="str">
        <f t="shared" si="148"/>
        <v/>
      </c>
      <c r="N1351" s="33" t="str">
        <f t="shared" si="149"/>
        <v/>
      </c>
      <c r="O1351" s="33" t="str">
        <f t="shared" si="150"/>
        <v/>
      </c>
      <c r="P1351" t="str">
        <f t="shared" si="151"/>
        <v/>
      </c>
      <c r="Q1351" s="33" t="str">
        <f t="shared" si="152"/>
        <v/>
      </c>
      <c r="R1351" s="39" t="str">
        <f t="shared" si="153"/>
        <v/>
      </c>
    </row>
    <row r="1352" spans="6:18" x14ac:dyDescent="0.25">
      <c r="F1352" s="35">
        <v>1346</v>
      </c>
      <c r="L1352" s="33" t="str">
        <f t="shared" ref="L1352:L1415" si="154">IF(G1352="","",$C$4*$C$6*$C$7/360)</f>
        <v/>
      </c>
      <c r="M1352" t="str">
        <f t="shared" ref="M1352:M1415" si="155">IF(G1352="","",IF(H1352=$G$2,100,0))</f>
        <v/>
      </c>
      <c r="N1352" s="33" t="str">
        <f t="shared" ref="N1352:N1415" si="156">IF(G1352="","",L1352+M1352)</f>
        <v/>
      </c>
      <c r="O1352" s="33" t="str">
        <f t="shared" ref="O1352:O1415" si="157">IF(G1352="","",1/(1+$C$5*K1352/360)^(J1352/K1352))</f>
        <v/>
      </c>
      <c r="P1352" t="str">
        <f t="shared" ref="P1352:P1415" si="158">IF(G1352="","",H1352-$C$12)</f>
        <v/>
      </c>
      <c r="Q1352" s="33" t="str">
        <f t="shared" ref="Q1352:Q1415" si="159">IF(G1352="","",(P1352/K1352))</f>
        <v/>
      </c>
      <c r="R1352" s="39" t="str">
        <f t="shared" ref="R1352:R1415" si="160">IF(G1352="","",N1352*O1352)</f>
        <v/>
      </c>
    </row>
    <row r="1353" spans="6:18" x14ac:dyDescent="0.25">
      <c r="F1353" s="35">
        <v>1347</v>
      </c>
      <c r="L1353" s="33" t="str">
        <f t="shared" si="154"/>
        <v/>
      </c>
      <c r="M1353" t="str">
        <f t="shared" si="155"/>
        <v/>
      </c>
      <c r="N1353" s="33" t="str">
        <f t="shared" si="156"/>
        <v/>
      </c>
      <c r="O1353" s="33" t="str">
        <f t="shared" si="157"/>
        <v/>
      </c>
      <c r="P1353" t="str">
        <f t="shared" si="158"/>
        <v/>
      </c>
      <c r="Q1353" s="33" t="str">
        <f t="shared" si="159"/>
        <v/>
      </c>
      <c r="R1353" s="39" t="str">
        <f t="shared" si="160"/>
        <v/>
      </c>
    </row>
    <row r="1354" spans="6:18" x14ac:dyDescent="0.25">
      <c r="F1354" s="35">
        <v>1348</v>
      </c>
      <c r="L1354" s="33" t="str">
        <f t="shared" si="154"/>
        <v/>
      </c>
      <c r="M1354" t="str">
        <f t="shared" si="155"/>
        <v/>
      </c>
      <c r="N1354" s="33" t="str">
        <f t="shared" si="156"/>
        <v/>
      </c>
      <c r="O1354" s="33" t="str">
        <f t="shared" si="157"/>
        <v/>
      </c>
      <c r="P1354" t="str">
        <f t="shared" si="158"/>
        <v/>
      </c>
      <c r="Q1354" s="33" t="str">
        <f t="shared" si="159"/>
        <v/>
      </c>
      <c r="R1354" s="39" t="str">
        <f t="shared" si="160"/>
        <v/>
      </c>
    </row>
    <row r="1355" spans="6:18" x14ac:dyDescent="0.25">
      <c r="F1355" s="35">
        <v>1349</v>
      </c>
      <c r="L1355" s="33" t="str">
        <f t="shared" si="154"/>
        <v/>
      </c>
      <c r="M1355" t="str">
        <f t="shared" si="155"/>
        <v/>
      </c>
      <c r="N1355" s="33" t="str">
        <f t="shared" si="156"/>
        <v/>
      </c>
      <c r="O1355" s="33" t="str">
        <f t="shared" si="157"/>
        <v/>
      </c>
      <c r="P1355" t="str">
        <f t="shared" si="158"/>
        <v/>
      </c>
      <c r="Q1355" s="33" t="str">
        <f t="shared" si="159"/>
        <v/>
      </c>
      <c r="R1355" s="39" t="str">
        <f t="shared" si="160"/>
        <v/>
      </c>
    </row>
    <row r="1356" spans="6:18" x14ac:dyDescent="0.25">
      <c r="F1356" s="35">
        <v>1350</v>
      </c>
      <c r="L1356" s="33" t="str">
        <f t="shared" si="154"/>
        <v/>
      </c>
      <c r="M1356" t="str">
        <f t="shared" si="155"/>
        <v/>
      </c>
      <c r="N1356" s="33" t="str">
        <f t="shared" si="156"/>
        <v/>
      </c>
      <c r="O1356" s="33" t="str">
        <f t="shared" si="157"/>
        <v/>
      </c>
      <c r="P1356" t="str">
        <f t="shared" si="158"/>
        <v/>
      </c>
      <c r="Q1356" s="33" t="str">
        <f t="shared" si="159"/>
        <v/>
      </c>
      <c r="R1356" s="39" t="str">
        <f t="shared" si="160"/>
        <v/>
      </c>
    </row>
    <row r="1357" spans="6:18" x14ac:dyDescent="0.25">
      <c r="F1357" s="35">
        <v>1351</v>
      </c>
      <c r="L1357" s="33" t="str">
        <f t="shared" si="154"/>
        <v/>
      </c>
      <c r="M1357" t="str">
        <f t="shared" si="155"/>
        <v/>
      </c>
      <c r="N1357" s="33" t="str">
        <f t="shared" si="156"/>
        <v/>
      </c>
      <c r="O1357" s="33" t="str">
        <f t="shared" si="157"/>
        <v/>
      </c>
      <c r="P1357" t="str">
        <f t="shared" si="158"/>
        <v/>
      </c>
      <c r="Q1357" s="33" t="str">
        <f t="shared" si="159"/>
        <v/>
      </c>
      <c r="R1357" s="39" t="str">
        <f t="shared" si="160"/>
        <v/>
      </c>
    </row>
    <row r="1358" spans="6:18" x14ac:dyDescent="0.25">
      <c r="F1358" s="35">
        <v>1352</v>
      </c>
      <c r="L1358" s="33" t="str">
        <f t="shared" si="154"/>
        <v/>
      </c>
      <c r="M1358" t="str">
        <f t="shared" si="155"/>
        <v/>
      </c>
      <c r="N1358" s="33" t="str">
        <f t="shared" si="156"/>
        <v/>
      </c>
      <c r="O1358" s="33" t="str">
        <f t="shared" si="157"/>
        <v/>
      </c>
      <c r="P1358" t="str">
        <f t="shared" si="158"/>
        <v/>
      </c>
      <c r="Q1358" s="33" t="str">
        <f t="shared" si="159"/>
        <v/>
      </c>
      <c r="R1358" s="39" t="str">
        <f t="shared" si="160"/>
        <v/>
      </c>
    </row>
    <row r="1359" spans="6:18" x14ac:dyDescent="0.25">
      <c r="F1359" s="35">
        <v>1353</v>
      </c>
      <c r="L1359" s="33" t="str">
        <f t="shared" si="154"/>
        <v/>
      </c>
      <c r="M1359" t="str">
        <f t="shared" si="155"/>
        <v/>
      </c>
      <c r="N1359" s="33" t="str">
        <f t="shared" si="156"/>
        <v/>
      </c>
      <c r="O1359" s="33" t="str">
        <f t="shared" si="157"/>
        <v/>
      </c>
      <c r="P1359" t="str">
        <f t="shared" si="158"/>
        <v/>
      </c>
      <c r="Q1359" s="33" t="str">
        <f t="shared" si="159"/>
        <v/>
      </c>
      <c r="R1359" s="39" t="str">
        <f t="shared" si="160"/>
        <v/>
      </c>
    </row>
    <row r="1360" spans="6:18" x14ac:dyDescent="0.25">
      <c r="F1360" s="35">
        <v>1354</v>
      </c>
      <c r="L1360" s="33" t="str">
        <f t="shared" si="154"/>
        <v/>
      </c>
      <c r="M1360" t="str">
        <f t="shared" si="155"/>
        <v/>
      </c>
      <c r="N1360" s="33" t="str">
        <f t="shared" si="156"/>
        <v/>
      </c>
      <c r="O1360" s="33" t="str">
        <f t="shared" si="157"/>
        <v/>
      </c>
      <c r="P1360" t="str">
        <f t="shared" si="158"/>
        <v/>
      </c>
      <c r="Q1360" s="33" t="str">
        <f t="shared" si="159"/>
        <v/>
      </c>
      <c r="R1360" s="39" t="str">
        <f t="shared" si="160"/>
        <v/>
      </c>
    </row>
    <row r="1361" spans="6:18" x14ac:dyDescent="0.25">
      <c r="F1361" s="35">
        <v>1355</v>
      </c>
      <c r="L1361" s="33" t="str">
        <f t="shared" si="154"/>
        <v/>
      </c>
      <c r="M1361" t="str">
        <f t="shared" si="155"/>
        <v/>
      </c>
      <c r="N1361" s="33" t="str">
        <f t="shared" si="156"/>
        <v/>
      </c>
      <c r="O1361" s="33" t="str">
        <f t="shared" si="157"/>
        <v/>
      </c>
      <c r="P1361" t="str">
        <f t="shared" si="158"/>
        <v/>
      </c>
      <c r="Q1361" s="33" t="str">
        <f t="shared" si="159"/>
        <v/>
      </c>
      <c r="R1361" s="39" t="str">
        <f t="shared" si="160"/>
        <v/>
      </c>
    </row>
    <row r="1362" spans="6:18" x14ac:dyDescent="0.25">
      <c r="F1362" s="35">
        <v>1356</v>
      </c>
      <c r="L1362" s="33" t="str">
        <f t="shared" si="154"/>
        <v/>
      </c>
      <c r="M1362" t="str">
        <f t="shared" si="155"/>
        <v/>
      </c>
      <c r="N1362" s="33" t="str">
        <f t="shared" si="156"/>
        <v/>
      </c>
      <c r="O1362" s="33" t="str">
        <f t="shared" si="157"/>
        <v/>
      </c>
      <c r="P1362" t="str">
        <f t="shared" si="158"/>
        <v/>
      </c>
      <c r="Q1362" s="33" t="str">
        <f t="shared" si="159"/>
        <v/>
      </c>
      <c r="R1362" s="39" t="str">
        <f t="shared" si="160"/>
        <v/>
      </c>
    </row>
    <row r="1363" spans="6:18" x14ac:dyDescent="0.25">
      <c r="F1363" s="35">
        <v>1357</v>
      </c>
      <c r="L1363" s="33" t="str">
        <f t="shared" si="154"/>
        <v/>
      </c>
      <c r="M1363" t="str">
        <f t="shared" si="155"/>
        <v/>
      </c>
      <c r="N1363" s="33" t="str">
        <f t="shared" si="156"/>
        <v/>
      </c>
      <c r="O1363" s="33" t="str">
        <f t="shared" si="157"/>
        <v/>
      </c>
      <c r="P1363" t="str">
        <f t="shared" si="158"/>
        <v/>
      </c>
      <c r="Q1363" s="33" t="str">
        <f t="shared" si="159"/>
        <v/>
      </c>
      <c r="R1363" s="39" t="str">
        <f t="shared" si="160"/>
        <v/>
      </c>
    </row>
    <row r="1364" spans="6:18" x14ac:dyDescent="0.25">
      <c r="F1364" s="35">
        <v>1358</v>
      </c>
      <c r="L1364" s="33" t="str">
        <f t="shared" si="154"/>
        <v/>
      </c>
      <c r="M1364" t="str">
        <f t="shared" si="155"/>
        <v/>
      </c>
      <c r="N1364" s="33" t="str">
        <f t="shared" si="156"/>
        <v/>
      </c>
      <c r="O1364" s="33" t="str">
        <f t="shared" si="157"/>
        <v/>
      </c>
      <c r="P1364" t="str">
        <f t="shared" si="158"/>
        <v/>
      </c>
      <c r="Q1364" s="33" t="str">
        <f t="shared" si="159"/>
        <v/>
      </c>
      <c r="R1364" s="39" t="str">
        <f t="shared" si="160"/>
        <v/>
      </c>
    </row>
    <row r="1365" spans="6:18" x14ac:dyDescent="0.25">
      <c r="F1365" s="35">
        <v>1359</v>
      </c>
      <c r="L1365" s="33" t="str">
        <f t="shared" si="154"/>
        <v/>
      </c>
      <c r="M1365" t="str">
        <f t="shared" si="155"/>
        <v/>
      </c>
      <c r="N1365" s="33" t="str">
        <f t="shared" si="156"/>
        <v/>
      </c>
      <c r="O1365" s="33" t="str">
        <f t="shared" si="157"/>
        <v/>
      </c>
      <c r="P1365" t="str">
        <f t="shared" si="158"/>
        <v/>
      </c>
      <c r="Q1365" s="33" t="str">
        <f t="shared" si="159"/>
        <v/>
      </c>
      <c r="R1365" s="39" t="str">
        <f t="shared" si="160"/>
        <v/>
      </c>
    </row>
    <row r="1366" spans="6:18" x14ac:dyDescent="0.25">
      <c r="F1366" s="35">
        <v>1360</v>
      </c>
      <c r="L1366" s="33" t="str">
        <f t="shared" si="154"/>
        <v/>
      </c>
      <c r="M1366" t="str">
        <f t="shared" si="155"/>
        <v/>
      </c>
      <c r="N1366" s="33" t="str">
        <f t="shared" si="156"/>
        <v/>
      </c>
      <c r="O1366" s="33" t="str">
        <f t="shared" si="157"/>
        <v/>
      </c>
      <c r="P1366" t="str">
        <f t="shared" si="158"/>
        <v/>
      </c>
      <c r="Q1366" s="33" t="str">
        <f t="shared" si="159"/>
        <v/>
      </c>
      <c r="R1366" s="39" t="str">
        <f t="shared" si="160"/>
        <v/>
      </c>
    </row>
    <row r="1367" spans="6:18" x14ac:dyDescent="0.25">
      <c r="F1367" s="35">
        <v>1361</v>
      </c>
      <c r="L1367" s="33" t="str">
        <f t="shared" si="154"/>
        <v/>
      </c>
      <c r="M1367" t="str">
        <f t="shared" si="155"/>
        <v/>
      </c>
      <c r="N1367" s="33" t="str">
        <f t="shared" si="156"/>
        <v/>
      </c>
      <c r="O1367" s="33" t="str">
        <f t="shared" si="157"/>
        <v/>
      </c>
      <c r="P1367" t="str">
        <f t="shared" si="158"/>
        <v/>
      </c>
      <c r="Q1367" s="33" t="str">
        <f t="shared" si="159"/>
        <v/>
      </c>
      <c r="R1367" s="39" t="str">
        <f t="shared" si="160"/>
        <v/>
      </c>
    </row>
    <row r="1368" spans="6:18" x14ac:dyDescent="0.25">
      <c r="F1368" s="35">
        <v>1362</v>
      </c>
      <c r="L1368" s="33" t="str">
        <f t="shared" si="154"/>
        <v/>
      </c>
      <c r="M1368" t="str">
        <f t="shared" si="155"/>
        <v/>
      </c>
      <c r="N1368" s="33" t="str">
        <f t="shared" si="156"/>
        <v/>
      </c>
      <c r="O1368" s="33" t="str">
        <f t="shared" si="157"/>
        <v/>
      </c>
      <c r="P1368" t="str">
        <f t="shared" si="158"/>
        <v/>
      </c>
      <c r="Q1368" s="33" t="str">
        <f t="shared" si="159"/>
        <v/>
      </c>
      <c r="R1368" s="39" t="str">
        <f t="shared" si="160"/>
        <v/>
      </c>
    </row>
    <row r="1369" spans="6:18" x14ac:dyDescent="0.25">
      <c r="F1369" s="35">
        <v>1363</v>
      </c>
      <c r="L1369" s="33" t="str">
        <f t="shared" si="154"/>
        <v/>
      </c>
      <c r="M1369" t="str">
        <f t="shared" si="155"/>
        <v/>
      </c>
      <c r="N1369" s="33" t="str">
        <f t="shared" si="156"/>
        <v/>
      </c>
      <c r="O1369" s="33" t="str">
        <f t="shared" si="157"/>
        <v/>
      </c>
      <c r="P1369" t="str">
        <f t="shared" si="158"/>
        <v/>
      </c>
      <c r="Q1369" s="33" t="str">
        <f t="shared" si="159"/>
        <v/>
      </c>
      <c r="R1369" s="39" t="str">
        <f t="shared" si="160"/>
        <v/>
      </c>
    </row>
    <row r="1370" spans="6:18" x14ac:dyDescent="0.25">
      <c r="F1370" s="35">
        <v>1364</v>
      </c>
      <c r="L1370" s="33" t="str">
        <f t="shared" si="154"/>
        <v/>
      </c>
      <c r="M1370" t="str">
        <f t="shared" si="155"/>
        <v/>
      </c>
      <c r="N1370" s="33" t="str">
        <f t="shared" si="156"/>
        <v/>
      </c>
      <c r="O1370" s="33" t="str">
        <f t="shared" si="157"/>
        <v/>
      </c>
      <c r="P1370" t="str">
        <f t="shared" si="158"/>
        <v/>
      </c>
      <c r="Q1370" s="33" t="str">
        <f t="shared" si="159"/>
        <v/>
      </c>
      <c r="R1370" s="39" t="str">
        <f t="shared" si="160"/>
        <v/>
      </c>
    </row>
    <row r="1371" spans="6:18" x14ac:dyDescent="0.25">
      <c r="F1371" s="35">
        <v>1365</v>
      </c>
      <c r="L1371" s="33" t="str">
        <f t="shared" si="154"/>
        <v/>
      </c>
      <c r="M1371" t="str">
        <f t="shared" si="155"/>
        <v/>
      </c>
      <c r="N1371" s="33" t="str">
        <f t="shared" si="156"/>
        <v/>
      </c>
      <c r="O1371" s="33" t="str">
        <f t="shared" si="157"/>
        <v/>
      </c>
      <c r="P1371" t="str">
        <f t="shared" si="158"/>
        <v/>
      </c>
      <c r="Q1371" s="33" t="str">
        <f t="shared" si="159"/>
        <v/>
      </c>
      <c r="R1371" s="39" t="str">
        <f t="shared" si="160"/>
        <v/>
      </c>
    </row>
    <row r="1372" spans="6:18" x14ac:dyDescent="0.25">
      <c r="F1372" s="35">
        <v>1366</v>
      </c>
      <c r="L1372" s="33" t="str">
        <f t="shared" si="154"/>
        <v/>
      </c>
      <c r="M1372" t="str">
        <f t="shared" si="155"/>
        <v/>
      </c>
      <c r="N1372" s="33" t="str">
        <f t="shared" si="156"/>
        <v/>
      </c>
      <c r="O1372" s="33" t="str">
        <f t="shared" si="157"/>
        <v/>
      </c>
      <c r="P1372" t="str">
        <f t="shared" si="158"/>
        <v/>
      </c>
      <c r="Q1372" s="33" t="str">
        <f t="shared" si="159"/>
        <v/>
      </c>
      <c r="R1372" s="39" t="str">
        <f t="shared" si="160"/>
        <v/>
      </c>
    </row>
    <row r="1373" spans="6:18" x14ac:dyDescent="0.25">
      <c r="F1373" s="35">
        <v>1367</v>
      </c>
      <c r="L1373" s="33" t="str">
        <f t="shared" si="154"/>
        <v/>
      </c>
      <c r="M1373" t="str">
        <f t="shared" si="155"/>
        <v/>
      </c>
      <c r="N1373" s="33" t="str">
        <f t="shared" si="156"/>
        <v/>
      </c>
      <c r="O1373" s="33" t="str">
        <f t="shared" si="157"/>
        <v/>
      </c>
      <c r="P1373" t="str">
        <f t="shared" si="158"/>
        <v/>
      </c>
      <c r="Q1373" s="33" t="str">
        <f t="shared" si="159"/>
        <v/>
      </c>
      <c r="R1373" s="39" t="str">
        <f t="shared" si="160"/>
        <v/>
      </c>
    </row>
    <row r="1374" spans="6:18" x14ac:dyDescent="0.25">
      <c r="F1374" s="35">
        <v>1368</v>
      </c>
      <c r="L1374" s="33" t="str">
        <f t="shared" si="154"/>
        <v/>
      </c>
      <c r="M1374" t="str">
        <f t="shared" si="155"/>
        <v/>
      </c>
      <c r="N1374" s="33" t="str">
        <f t="shared" si="156"/>
        <v/>
      </c>
      <c r="O1374" s="33" t="str">
        <f t="shared" si="157"/>
        <v/>
      </c>
      <c r="P1374" t="str">
        <f t="shared" si="158"/>
        <v/>
      </c>
      <c r="Q1374" s="33" t="str">
        <f t="shared" si="159"/>
        <v/>
      </c>
      <c r="R1374" s="39" t="str">
        <f t="shared" si="160"/>
        <v/>
      </c>
    </row>
    <row r="1375" spans="6:18" x14ac:dyDescent="0.25">
      <c r="F1375" s="35">
        <v>1369</v>
      </c>
      <c r="L1375" s="33" t="str">
        <f t="shared" si="154"/>
        <v/>
      </c>
      <c r="M1375" t="str">
        <f t="shared" si="155"/>
        <v/>
      </c>
      <c r="N1375" s="33" t="str">
        <f t="shared" si="156"/>
        <v/>
      </c>
      <c r="O1375" s="33" t="str">
        <f t="shared" si="157"/>
        <v/>
      </c>
      <c r="P1375" t="str">
        <f t="shared" si="158"/>
        <v/>
      </c>
      <c r="Q1375" s="33" t="str">
        <f t="shared" si="159"/>
        <v/>
      </c>
      <c r="R1375" s="39" t="str">
        <f t="shared" si="160"/>
        <v/>
      </c>
    </row>
    <row r="1376" spans="6:18" x14ac:dyDescent="0.25">
      <c r="F1376" s="35">
        <v>1370</v>
      </c>
      <c r="L1376" s="33" t="str">
        <f t="shared" si="154"/>
        <v/>
      </c>
      <c r="M1376" t="str">
        <f t="shared" si="155"/>
        <v/>
      </c>
      <c r="N1376" s="33" t="str">
        <f t="shared" si="156"/>
        <v/>
      </c>
      <c r="O1376" s="33" t="str">
        <f t="shared" si="157"/>
        <v/>
      </c>
      <c r="P1376" t="str">
        <f t="shared" si="158"/>
        <v/>
      </c>
      <c r="Q1376" s="33" t="str">
        <f t="shared" si="159"/>
        <v/>
      </c>
      <c r="R1376" s="39" t="str">
        <f t="shared" si="160"/>
        <v/>
      </c>
    </row>
    <row r="1377" spans="6:18" x14ac:dyDescent="0.25">
      <c r="F1377" s="35">
        <v>1371</v>
      </c>
      <c r="L1377" s="33" t="str">
        <f t="shared" si="154"/>
        <v/>
      </c>
      <c r="M1377" t="str">
        <f t="shared" si="155"/>
        <v/>
      </c>
      <c r="N1377" s="33" t="str">
        <f t="shared" si="156"/>
        <v/>
      </c>
      <c r="O1377" s="33" t="str">
        <f t="shared" si="157"/>
        <v/>
      </c>
      <c r="P1377" t="str">
        <f t="shared" si="158"/>
        <v/>
      </c>
      <c r="Q1377" s="33" t="str">
        <f t="shared" si="159"/>
        <v/>
      </c>
      <c r="R1377" s="39" t="str">
        <f t="shared" si="160"/>
        <v/>
      </c>
    </row>
    <row r="1378" spans="6:18" x14ac:dyDescent="0.25">
      <c r="F1378" s="35">
        <v>1372</v>
      </c>
      <c r="L1378" s="33" t="str">
        <f t="shared" si="154"/>
        <v/>
      </c>
      <c r="M1378" t="str">
        <f t="shared" si="155"/>
        <v/>
      </c>
      <c r="N1378" s="33" t="str">
        <f t="shared" si="156"/>
        <v/>
      </c>
      <c r="O1378" s="33" t="str">
        <f t="shared" si="157"/>
        <v/>
      </c>
      <c r="P1378" t="str">
        <f t="shared" si="158"/>
        <v/>
      </c>
      <c r="Q1378" s="33" t="str">
        <f t="shared" si="159"/>
        <v/>
      </c>
      <c r="R1378" s="39" t="str">
        <f t="shared" si="160"/>
        <v/>
      </c>
    </row>
    <row r="1379" spans="6:18" x14ac:dyDescent="0.25">
      <c r="F1379" s="35">
        <v>1373</v>
      </c>
      <c r="L1379" s="33" t="str">
        <f t="shared" si="154"/>
        <v/>
      </c>
      <c r="M1379" t="str">
        <f t="shared" si="155"/>
        <v/>
      </c>
      <c r="N1379" s="33" t="str">
        <f t="shared" si="156"/>
        <v/>
      </c>
      <c r="O1379" s="33" t="str">
        <f t="shared" si="157"/>
        <v/>
      </c>
      <c r="P1379" t="str">
        <f t="shared" si="158"/>
        <v/>
      </c>
      <c r="Q1379" s="33" t="str">
        <f t="shared" si="159"/>
        <v/>
      </c>
      <c r="R1379" s="39" t="str">
        <f t="shared" si="160"/>
        <v/>
      </c>
    </row>
    <row r="1380" spans="6:18" x14ac:dyDescent="0.25">
      <c r="F1380" s="35">
        <v>1374</v>
      </c>
      <c r="L1380" s="33" t="str">
        <f t="shared" si="154"/>
        <v/>
      </c>
      <c r="M1380" t="str">
        <f t="shared" si="155"/>
        <v/>
      </c>
      <c r="N1380" s="33" t="str">
        <f t="shared" si="156"/>
        <v/>
      </c>
      <c r="O1380" s="33" t="str">
        <f t="shared" si="157"/>
        <v/>
      </c>
      <c r="P1380" t="str">
        <f t="shared" si="158"/>
        <v/>
      </c>
      <c r="Q1380" s="33" t="str">
        <f t="shared" si="159"/>
        <v/>
      </c>
      <c r="R1380" s="39" t="str">
        <f t="shared" si="160"/>
        <v/>
      </c>
    </row>
    <row r="1381" spans="6:18" x14ac:dyDescent="0.25">
      <c r="F1381" s="35">
        <v>1375</v>
      </c>
      <c r="L1381" s="33" t="str">
        <f t="shared" si="154"/>
        <v/>
      </c>
      <c r="M1381" t="str">
        <f t="shared" si="155"/>
        <v/>
      </c>
      <c r="N1381" s="33" t="str">
        <f t="shared" si="156"/>
        <v/>
      </c>
      <c r="O1381" s="33" t="str">
        <f t="shared" si="157"/>
        <v/>
      </c>
      <c r="P1381" t="str">
        <f t="shared" si="158"/>
        <v/>
      </c>
      <c r="Q1381" s="33" t="str">
        <f t="shared" si="159"/>
        <v/>
      </c>
      <c r="R1381" s="39" t="str">
        <f t="shared" si="160"/>
        <v/>
      </c>
    </row>
    <row r="1382" spans="6:18" x14ac:dyDescent="0.25">
      <c r="F1382" s="35">
        <v>1376</v>
      </c>
      <c r="L1382" s="33" t="str">
        <f t="shared" si="154"/>
        <v/>
      </c>
      <c r="M1382" t="str">
        <f t="shared" si="155"/>
        <v/>
      </c>
      <c r="N1382" s="33" t="str">
        <f t="shared" si="156"/>
        <v/>
      </c>
      <c r="O1382" s="33" t="str">
        <f t="shared" si="157"/>
        <v/>
      </c>
      <c r="P1382" t="str">
        <f t="shared" si="158"/>
        <v/>
      </c>
      <c r="Q1382" s="33" t="str">
        <f t="shared" si="159"/>
        <v/>
      </c>
      <c r="R1382" s="39" t="str">
        <f t="shared" si="160"/>
        <v/>
      </c>
    </row>
    <row r="1383" spans="6:18" x14ac:dyDescent="0.25">
      <c r="F1383" s="35">
        <v>1377</v>
      </c>
      <c r="L1383" s="33" t="str">
        <f t="shared" si="154"/>
        <v/>
      </c>
      <c r="M1383" t="str">
        <f t="shared" si="155"/>
        <v/>
      </c>
      <c r="N1383" s="33" t="str">
        <f t="shared" si="156"/>
        <v/>
      </c>
      <c r="O1383" s="33" t="str">
        <f t="shared" si="157"/>
        <v/>
      </c>
      <c r="P1383" t="str">
        <f t="shared" si="158"/>
        <v/>
      </c>
      <c r="Q1383" s="33" t="str">
        <f t="shared" si="159"/>
        <v/>
      </c>
      <c r="R1383" s="39" t="str">
        <f t="shared" si="160"/>
        <v/>
      </c>
    </row>
    <row r="1384" spans="6:18" x14ac:dyDescent="0.25">
      <c r="F1384" s="35">
        <v>1378</v>
      </c>
      <c r="L1384" s="33" t="str">
        <f t="shared" si="154"/>
        <v/>
      </c>
      <c r="M1384" t="str">
        <f t="shared" si="155"/>
        <v/>
      </c>
      <c r="N1384" s="33" t="str">
        <f t="shared" si="156"/>
        <v/>
      </c>
      <c r="O1384" s="33" t="str">
        <f t="shared" si="157"/>
        <v/>
      </c>
      <c r="P1384" t="str">
        <f t="shared" si="158"/>
        <v/>
      </c>
      <c r="Q1384" s="33" t="str">
        <f t="shared" si="159"/>
        <v/>
      </c>
      <c r="R1384" s="39" t="str">
        <f t="shared" si="160"/>
        <v/>
      </c>
    </row>
    <row r="1385" spans="6:18" x14ac:dyDescent="0.25">
      <c r="F1385" s="35">
        <v>1379</v>
      </c>
      <c r="L1385" s="33" t="str">
        <f t="shared" si="154"/>
        <v/>
      </c>
      <c r="M1385" t="str">
        <f t="shared" si="155"/>
        <v/>
      </c>
      <c r="N1385" s="33" t="str">
        <f t="shared" si="156"/>
        <v/>
      </c>
      <c r="O1385" s="33" t="str">
        <f t="shared" si="157"/>
        <v/>
      </c>
      <c r="P1385" t="str">
        <f t="shared" si="158"/>
        <v/>
      </c>
      <c r="Q1385" s="33" t="str">
        <f t="shared" si="159"/>
        <v/>
      </c>
      <c r="R1385" s="39" t="str">
        <f t="shared" si="160"/>
        <v/>
      </c>
    </row>
    <row r="1386" spans="6:18" x14ac:dyDescent="0.25">
      <c r="F1386" s="35">
        <v>1380</v>
      </c>
      <c r="L1386" s="33" t="str">
        <f t="shared" si="154"/>
        <v/>
      </c>
      <c r="M1386" t="str">
        <f t="shared" si="155"/>
        <v/>
      </c>
      <c r="N1386" s="33" t="str">
        <f t="shared" si="156"/>
        <v/>
      </c>
      <c r="O1386" s="33" t="str">
        <f t="shared" si="157"/>
        <v/>
      </c>
      <c r="P1386" t="str">
        <f t="shared" si="158"/>
        <v/>
      </c>
      <c r="Q1386" s="33" t="str">
        <f t="shared" si="159"/>
        <v/>
      </c>
      <c r="R1386" s="39" t="str">
        <f t="shared" si="160"/>
        <v/>
      </c>
    </row>
    <row r="1387" spans="6:18" x14ac:dyDescent="0.25">
      <c r="F1387" s="35">
        <v>1381</v>
      </c>
      <c r="L1387" s="33" t="str">
        <f t="shared" si="154"/>
        <v/>
      </c>
      <c r="M1387" t="str">
        <f t="shared" si="155"/>
        <v/>
      </c>
      <c r="N1387" s="33" t="str">
        <f t="shared" si="156"/>
        <v/>
      </c>
      <c r="O1387" s="33" t="str">
        <f t="shared" si="157"/>
        <v/>
      </c>
      <c r="P1387" t="str">
        <f t="shared" si="158"/>
        <v/>
      </c>
      <c r="Q1387" s="33" t="str">
        <f t="shared" si="159"/>
        <v/>
      </c>
      <c r="R1387" s="39" t="str">
        <f t="shared" si="160"/>
        <v/>
      </c>
    </row>
    <row r="1388" spans="6:18" x14ac:dyDescent="0.25">
      <c r="F1388" s="35">
        <v>1382</v>
      </c>
      <c r="L1388" s="33" t="str">
        <f t="shared" si="154"/>
        <v/>
      </c>
      <c r="M1388" t="str">
        <f t="shared" si="155"/>
        <v/>
      </c>
      <c r="N1388" s="33" t="str">
        <f t="shared" si="156"/>
        <v/>
      </c>
      <c r="O1388" s="33" t="str">
        <f t="shared" si="157"/>
        <v/>
      </c>
      <c r="P1388" t="str">
        <f t="shared" si="158"/>
        <v/>
      </c>
      <c r="Q1388" s="33" t="str">
        <f t="shared" si="159"/>
        <v/>
      </c>
      <c r="R1388" s="39" t="str">
        <f t="shared" si="160"/>
        <v/>
      </c>
    </row>
    <row r="1389" spans="6:18" x14ac:dyDescent="0.25">
      <c r="F1389" s="35">
        <v>1383</v>
      </c>
      <c r="L1389" s="33" t="str">
        <f t="shared" si="154"/>
        <v/>
      </c>
      <c r="M1389" t="str">
        <f t="shared" si="155"/>
        <v/>
      </c>
      <c r="N1389" s="33" t="str">
        <f t="shared" si="156"/>
        <v/>
      </c>
      <c r="O1389" s="33" t="str">
        <f t="shared" si="157"/>
        <v/>
      </c>
      <c r="P1389" t="str">
        <f t="shared" si="158"/>
        <v/>
      </c>
      <c r="Q1389" s="33" t="str">
        <f t="shared" si="159"/>
        <v/>
      </c>
      <c r="R1389" s="39" t="str">
        <f t="shared" si="160"/>
        <v/>
      </c>
    </row>
    <row r="1390" spans="6:18" x14ac:dyDescent="0.25">
      <c r="F1390" s="35">
        <v>1384</v>
      </c>
      <c r="L1390" s="33" t="str">
        <f t="shared" si="154"/>
        <v/>
      </c>
      <c r="M1390" t="str">
        <f t="shared" si="155"/>
        <v/>
      </c>
      <c r="N1390" s="33" t="str">
        <f t="shared" si="156"/>
        <v/>
      </c>
      <c r="O1390" s="33" t="str">
        <f t="shared" si="157"/>
        <v/>
      </c>
      <c r="P1390" t="str">
        <f t="shared" si="158"/>
        <v/>
      </c>
      <c r="Q1390" s="33" t="str">
        <f t="shared" si="159"/>
        <v/>
      </c>
      <c r="R1390" s="39" t="str">
        <f t="shared" si="160"/>
        <v/>
      </c>
    </row>
    <row r="1391" spans="6:18" x14ac:dyDescent="0.25">
      <c r="F1391" s="35">
        <v>1385</v>
      </c>
      <c r="L1391" s="33" t="str">
        <f t="shared" si="154"/>
        <v/>
      </c>
      <c r="M1391" t="str">
        <f t="shared" si="155"/>
        <v/>
      </c>
      <c r="N1391" s="33" t="str">
        <f t="shared" si="156"/>
        <v/>
      </c>
      <c r="O1391" s="33" t="str">
        <f t="shared" si="157"/>
        <v/>
      </c>
      <c r="P1391" t="str">
        <f t="shared" si="158"/>
        <v/>
      </c>
      <c r="Q1391" s="33" t="str">
        <f t="shared" si="159"/>
        <v/>
      </c>
      <c r="R1391" s="39" t="str">
        <f t="shared" si="160"/>
        <v/>
      </c>
    </row>
    <row r="1392" spans="6:18" x14ac:dyDescent="0.25">
      <c r="F1392" s="35">
        <v>1386</v>
      </c>
      <c r="L1392" s="33" t="str">
        <f t="shared" si="154"/>
        <v/>
      </c>
      <c r="M1392" t="str">
        <f t="shared" si="155"/>
        <v/>
      </c>
      <c r="N1392" s="33" t="str">
        <f t="shared" si="156"/>
        <v/>
      </c>
      <c r="O1392" s="33" t="str">
        <f t="shared" si="157"/>
        <v/>
      </c>
      <c r="P1392" t="str">
        <f t="shared" si="158"/>
        <v/>
      </c>
      <c r="Q1392" s="33" t="str">
        <f t="shared" si="159"/>
        <v/>
      </c>
      <c r="R1392" s="39" t="str">
        <f t="shared" si="160"/>
        <v/>
      </c>
    </row>
    <row r="1393" spans="6:18" x14ac:dyDescent="0.25">
      <c r="F1393" s="35">
        <v>1387</v>
      </c>
      <c r="L1393" s="33" t="str">
        <f t="shared" si="154"/>
        <v/>
      </c>
      <c r="M1393" t="str">
        <f t="shared" si="155"/>
        <v/>
      </c>
      <c r="N1393" s="33" t="str">
        <f t="shared" si="156"/>
        <v/>
      </c>
      <c r="O1393" s="33" t="str">
        <f t="shared" si="157"/>
        <v/>
      </c>
      <c r="P1393" t="str">
        <f t="shared" si="158"/>
        <v/>
      </c>
      <c r="Q1393" s="33" t="str">
        <f t="shared" si="159"/>
        <v/>
      </c>
      <c r="R1393" s="39" t="str">
        <f t="shared" si="160"/>
        <v/>
      </c>
    </row>
    <row r="1394" spans="6:18" x14ac:dyDescent="0.25">
      <c r="F1394" s="35">
        <v>1388</v>
      </c>
      <c r="L1394" s="33" t="str">
        <f t="shared" si="154"/>
        <v/>
      </c>
      <c r="M1394" t="str">
        <f t="shared" si="155"/>
        <v/>
      </c>
      <c r="N1394" s="33" t="str">
        <f t="shared" si="156"/>
        <v/>
      </c>
      <c r="O1394" s="33" t="str">
        <f t="shared" si="157"/>
        <v/>
      </c>
      <c r="P1394" t="str">
        <f t="shared" si="158"/>
        <v/>
      </c>
      <c r="Q1394" s="33" t="str">
        <f t="shared" si="159"/>
        <v/>
      </c>
      <c r="R1394" s="39" t="str">
        <f t="shared" si="160"/>
        <v/>
      </c>
    </row>
    <row r="1395" spans="6:18" x14ac:dyDescent="0.25">
      <c r="F1395" s="35">
        <v>1389</v>
      </c>
      <c r="L1395" s="33" t="str">
        <f t="shared" si="154"/>
        <v/>
      </c>
      <c r="M1395" t="str">
        <f t="shared" si="155"/>
        <v/>
      </c>
      <c r="N1395" s="33" t="str">
        <f t="shared" si="156"/>
        <v/>
      </c>
      <c r="O1395" s="33" t="str">
        <f t="shared" si="157"/>
        <v/>
      </c>
      <c r="P1395" t="str">
        <f t="shared" si="158"/>
        <v/>
      </c>
      <c r="Q1395" s="33" t="str">
        <f t="shared" si="159"/>
        <v/>
      </c>
      <c r="R1395" s="39" t="str">
        <f t="shared" si="160"/>
        <v/>
      </c>
    </row>
    <row r="1396" spans="6:18" x14ac:dyDescent="0.25">
      <c r="F1396" s="35">
        <v>1390</v>
      </c>
      <c r="L1396" s="33" t="str">
        <f t="shared" si="154"/>
        <v/>
      </c>
      <c r="M1396" t="str">
        <f t="shared" si="155"/>
        <v/>
      </c>
      <c r="N1396" s="33" t="str">
        <f t="shared" si="156"/>
        <v/>
      </c>
      <c r="O1396" s="33" t="str">
        <f t="shared" si="157"/>
        <v/>
      </c>
      <c r="P1396" t="str">
        <f t="shared" si="158"/>
        <v/>
      </c>
      <c r="Q1396" s="33" t="str">
        <f t="shared" si="159"/>
        <v/>
      </c>
      <c r="R1396" s="39" t="str">
        <f t="shared" si="160"/>
        <v/>
      </c>
    </row>
    <row r="1397" spans="6:18" x14ac:dyDescent="0.25">
      <c r="F1397" s="35">
        <v>1391</v>
      </c>
      <c r="L1397" s="33" t="str">
        <f t="shared" si="154"/>
        <v/>
      </c>
      <c r="M1397" t="str">
        <f t="shared" si="155"/>
        <v/>
      </c>
      <c r="N1397" s="33" t="str">
        <f t="shared" si="156"/>
        <v/>
      </c>
      <c r="O1397" s="33" t="str">
        <f t="shared" si="157"/>
        <v/>
      </c>
      <c r="P1397" t="str">
        <f t="shared" si="158"/>
        <v/>
      </c>
      <c r="Q1397" s="33" t="str">
        <f t="shared" si="159"/>
        <v/>
      </c>
      <c r="R1397" s="39" t="str">
        <f t="shared" si="160"/>
        <v/>
      </c>
    </row>
    <row r="1398" spans="6:18" x14ac:dyDescent="0.25">
      <c r="F1398" s="35">
        <v>1392</v>
      </c>
      <c r="L1398" s="33" t="str">
        <f t="shared" si="154"/>
        <v/>
      </c>
      <c r="M1398" t="str">
        <f t="shared" si="155"/>
        <v/>
      </c>
      <c r="N1398" s="33" t="str">
        <f t="shared" si="156"/>
        <v/>
      </c>
      <c r="O1398" s="33" t="str">
        <f t="shared" si="157"/>
        <v/>
      </c>
      <c r="P1398" t="str">
        <f t="shared" si="158"/>
        <v/>
      </c>
      <c r="Q1398" s="33" t="str">
        <f t="shared" si="159"/>
        <v/>
      </c>
      <c r="R1398" s="39" t="str">
        <f t="shared" si="160"/>
        <v/>
      </c>
    </row>
    <row r="1399" spans="6:18" x14ac:dyDescent="0.25">
      <c r="F1399" s="35">
        <v>1393</v>
      </c>
      <c r="L1399" s="33" t="str">
        <f t="shared" si="154"/>
        <v/>
      </c>
      <c r="M1399" t="str">
        <f t="shared" si="155"/>
        <v/>
      </c>
      <c r="N1399" s="33" t="str">
        <f t="shared" si="156"/>
        <v/>
      </c>
      <c r="O1399" s="33" t="str">
        <f t="shared" si="157"/>
        <v/>
      </c>
      <c r="P1399" t="str">
        <f t="shared" si="158"/>
        <v/>
      </c>
      <c r="Q1399" s="33" t="str">
        <f t="shared" si="159"/>
        <v/>
      </c>
      <c r="R1399" s="39" t="str">
        <f t="shared" si="160"/>
        <v/>
      </c>
    </row>
    <row r="1400" spans="6:18" x14ac:dyDescent="0.25">
      <c r="F1400" s="35">
        <v>1394</v>
      </c>
      <c r="L1400" s="33" t="str">
        <f t="shared" si="154"/>
        <v/>
      </c>
      <c r="M1400" t="str">
        <f t="shared" si="155"/>
        <v/>
      </c>
      <c r="N1400" s="33" t="str">
        <f t="shared" si="156"/>
        <v/>
      </c>
      <c r="O1400" s="33" t="str">
        <f t="shared" si="157"/>
        <v/>
      </c>
      <c r="P1400" t="str">
        <f t="shared" si="158"/>
        <v/>
      </c>
      <c r="Q1400" s="33" t="str">
        <f t="shared" si="159"/>
        <v/>
      </c>
      <c r="R1400" s="39" t="str">
        <f t="shared" si="160"/>
        <v/>
      </c>
    </row>
    <row r="1401" spans="6:18" x14ac:dyDescent="0.25">
      <c r="F1401" s="35">
        <v>1395</v>
      </c>
      <c r="L1401" s="33" t="str">
        <f t="shared" si="154"/>
        <v/>
      </c>
      <c r="M1401" t="str">
        <f t="shared" si="155"/>
        <v/>
      </c>
      <c r="N1401" s="33" t="str">
        <f t="shared" si="156"/>
        <v/>
      </c>
      <c r="O1401" s="33" t="str">
        <f t="shared" si="157"/>
        <v/>
      </c>
      <c r="P1401" t="str">
        <f t="shared" si="158"/>
        <v/>
      </c>
      <c r="Q1401" s="33" t="str">
        <f t="shared" si="159"/>
        <v/>
      </c>
      <c r="R1401" s="39" t="str">
        <f t="shared" si="160"/>
        <v/>
      </c>
    </row>
    <row r="1402" spans="6:18" x14ac:dyDescent="0.25">
      <c r="F1402" s="35">
        <v>1396</v>
      </c>
      <c r="L1402" s="33" t="str">
        <f t="shared" si="154"/>
        <v/>
      </c>
      <c r="M1402" t="str">
        <f t="shared" si="155"/>
        <v/>
      </c>
      <c r="N1402" s="33" t="str">
        <f t="shared" si="156"/>
        <v/>
      </c>
      <c r="O1402" s="33" t="str">
        <f t="shared" si="157"/>
        <v/>
      </c>
      <c r="P1402" t="str">
        <f t="shared" si="158"/>
        <v/>
      </c>
      <c r="Q1402" s="33" t="str">
        <f t="shared" si="159"/>
        <v/>
      </c>
      <c r="R1402" s="39" t="str">
        <f t="shared" si="160"/>
        <v/>
      </c>
    </row>
    <row r="1403" spans="6:18" x14ac:dyDescent="0.25">
      <c r="F1403" s="35">
        <v>1397</v>
      </c>
      <c r="L1403" s="33" t="str">
        <f t="shared" si="154"/>
        <v/>
      </c>
      <c r="M1403" t="str">
        <f t="shared" si="155"/>
        <v/>
      </c>
      <c r="N1403" s="33" t="str">
        <f t="shared" si="156"/>
        <v/>
      </c>
      <c r="O1403" s="33" t="str">
        <f t="shared" si="157"/>
        <v/>
      </c>
      <c r="P1403" t="str">
        <f t="shared" si="158"/>
        <v/>
      </c>
      <c r="Q1403" s="33" t="str">
        <f t="shared" si="159"/>
        <v/>
      </c>
      <c r="R1403" s="39" t="str">
        <f t="shared" si="160"/>
        <v/>
      </c>
    </row>
    <row r="1404" spans="6:18" x14ac:dyDescent="0.25">
      <c r="F1404" s="35">
        <v>1398</v>
      </c>
      <c r="L1404" s="33" t="str">
        <f t="shared" si="154"/>
        <v/>
      </c>
      <c r="M1404" t="str">
        <f t="shared" si="155"/>
        <v/>
      </c>
      <c r="N1404" s="33" t="str">
        <f t="shared" si="156"/>
        <v/>
      </c>
      <c r="O1404" s="33" t="str">
        <f t="shared" si="157"/>
        <v/>
      </c>
      <c r="P1404" t="str">
        <f t="shared" si="158"/>
        <v/>
      </c>
      <c r="Q1404" s="33" t="str">
        <f t="shared" si="159"/>
        <v/>
      </c>
      <c r="R1404" s="39" t="str">
        <f t="shared" si="160"/>
        <v/>
      </c>
    </row>
    <row r="1405" spans="6:18" x14ac:dyDescent="0.25">
      <c r="F1405" s="35">
        <v>1399</v>
      </c>
      <c r="L1405" s="33" t="str">
        <f t="shared" si="154"/>
        <v/>
      </c>
      <c r="M1405" t="str">
        <f t="shared" si="155"/>
        <v/>
      </c>
      <c r="N1405" s="33" t="str">
        <f t="shared" si="156"/>
        <v/>
      </c>
      <c r="O1405" s="33" t="str">
        <f t="shared" si="157"/>
        <v/>
      </c>
      <c r="P1405" t="str">
        <f t="shared" si="158"/>
        <v/>
      </c>
      <c r="Q1405" s="33" t="str">
        <f t="shared" si="159"/>
        <v/>
      </c>
      <c r="R1405" s="39" t="str">
        <f t="shared" si="160"/>
        <v/>
      </c>
    </row>
    <row r="1406" spans="6:18" x14ac:dyDescent="0.25">
      <c r="F1406" s="35">
        <v>1400</v>
      </c>
      <c r="L1406" s="33" t="str">
        <f t="shared" si="154"/>
        <v/>
      </c>
      <c r="M1406" t="str">
        <f t="shared" si="155"/>
        <v/>
      </c>
      <c r="N1406" s="33" t="str">
        <f t="shared" si="156"/>
        <v/>
      </c>
      <c r="O1406" s="33" t="str">
        <f t="shared" si="157"/>
        <v/>
      </c>
      <c r="P1406" t="str">
        <f t="shared" si="158"/>
        <v/>
      </c>
      <c r="Q1406" s="33" t="str">
        <f t="shared" si="159"/>
        <v/>
      </c>
      <c r="R1406" s="39" t="str">
        <f t="shared" si="160"/>
        <v/>
      </c>
    </row>
    <row r="1407" spans="6:18" x14ac:dyDescent="0.25">
      <c r="F1407" s="35">
        <v>1401</v>
      </c>
      <c r="L1407" s="33" t="str">
        <f t="shared" si="154"/>
        <v/>
      </c>
      <c r="M1407" t="str">
        <f t="shared" si="155"/>
        <v/>
      </c>
      <c r="N1407" s="33" t="str">
        <f t="shared" si="156"/>
        <v/>
      </c>
      <c r="O1407" s="33" t="str">
        <f t="shared" si="157"/>
        <v/>
      </c>
      <c r="P1407" t="str">
        <f t="shared" si="158"/>
        <v/>
      </c>
      <c r="Q1407" s="33" t="str">
        <f t="shared" si="159"/>
        <v/>
      </c>
      <c r="R1407" s="39" t="str">
        <f t="shared" si="160"/>
        <v/>
      </c>
    </row>
    <row r="1408" spans="6:18" x14ac:dyDescent="0.25">
      <c r="F1408" s="35">
        <v>1402</v>
      </c>
      <c r="L1408" s="33" t="str">
        <f t="shared" si="154"/>
        <v/>
      </c>
      <c r="M1408" t="str">
        <f t="shared" si="155"/>
        <v/>
      </c>
      <c r="N1408" s="33" t="str">
        <f t="shared" si="156"/>
        <v/>
      </c>
      <c r="O1408" s="33" t="str">
        <f t="shared" si="157"/>
        <v/>
      </c>
      <c r="P1408" t="str">
        <f t="shared" si="158"/>
        <v/>
      </c>
      <c r="Q1408" s="33" t="str">
        <f t="shared" si="159"/>
        <v/>
      </c>
      <c r="R1408" s="39" t="str">
        <f t="shared" si="160"/>
        <v/>
      </c>
    </row>
    <row r="1409" spans="6:18" x14ac:dyDescent="0.25">
      <c r="F1409" s="35">
        <v>1403</v>
      </c>
      <c r="L1409" s="33" t="str">
        <f t="shared" si="154"/>
        <v/>
      </c>
      <c r="M1409" t="str">
        <f t="shared" si="155"/>
        <v/>
      </c>
      <c r="N1409" s="33" t="str">
        <f t="shared" si="156"/>
        <v/>
      </c>
      <c r="O1409" s="33" t="str">
        <f t="shared" si="157"/>
        <v/>
      </c>
      <c r="P1409" t="str">
        <f t="shared" si="158"/>
        <v/>
      </c>
      <c r="Q1409" s="33" t="str">
        <f t="shared" si="159"/>
        <v/>
      </c>
      <c r="R1409" s="39" t="str">
        <f t="shared" si="160"/>
        <v/>
      </c>
    </row>
    <row r="1410" spans="6:18" x14ac:dyDescent="0.25">
      <c r="F1410" s="35">
        <v>1404</v>
      </c>
      <c r="L1410" s="33" t="str">
        <f t="shared" si="154"/>
        <v/>
      </c>
      <c r="M1410" t="str">
        <f t="shared" si="155"/>
        <v/>
      </c>
      <c r="N1410" s="33" t="str">
        <f t="shared" si="156"/>
        <v/>
      </c>
      <c r="O1410" s="33" t="str">
        <f t="shared" si="157"/>
        <v/>
      </c>
      <c r="P1410" t="str">
        <f t="shared" si="158"/>
        <v/>
      </c>
      <c r="Q1410" s="33" t="str">
        <f t="shared" si="159"/>
        <v/>
      </c>
      <c r="R1410" s="39" t="str">
        <f t="shared" si="160"/>
        <v/>
      </c>
    </row>
    <row r="1411" spans="6:18" x14ac:dyDescent="0.25">
      <c r="F1411" s="35">
        <v>1405</v>
      </c>
      <c r="L1411" s="33" t="str">
        <f t="shared" si="154"/>
        <v/>
      </c>
      <c r="M1411" t="str">
        <f t="shared" si="155"/>
        <v/>
      </c>
      <c r="N1411" s="33" t="str">
        <f t="shared" si="156"/>
        <v/>
      </c>
      <c r="O1411" s="33" t="str">
        <f t="shared" si="157"/>
        <v/>
      </c>
      <c r="P1411" t="str">
        <f t="shared" si="158"/>
        <v/>
      </c>
      <c r="Q1411" s="33" t="str">
        <f t="shared" si="159"/>
        <v/>
      </c>
      <c r="R1411" s="39" t="str">
        <f t="shared" si="160"/>
        <v/>
      </c>
    </row>
    <row r="1412" spans="6:18" x14ac:dyDescent="0.25">
      <c r="F1412" s="35">
        <v>1406</v>
      </c>
      <c r="L1412" s="33" t="str">
        <f t="shared" si="154"/>
        <v/>
      </c>
      <c r="M1412" t="str">
        <f t="shared" si="155"/>
        <v/>
      </c>
      <c r="N1412" s="33" t="str">
        <f t="shared" si="156"/>
        <v/>
      </c>
      <c r="O1412" s="33" t="str">
        <f t="shared" si="157"/>
        <v/>
      </c>
      <c r="P1412" t="str">
        <f t="shared" si="158"/>
        <v/>
      </c>
      <c r="Q1412" s="33" t="str">
        <f t="shared" si="159"/>
        <v/>
      </c>
      <c r="R1412" s="39" t="str">
        <f t="shared" si="160"/>
        <v/>
      </c>
    </row>
    <row r="1413" spans="6:18" x14ac:dyDescent="0.25">
      <c r="F1413" s="35">
        <v>1407</v>
      </c>
      <c r="L1413" s="33" t="str">
        <f t="shared" si="154"/>
        <v/>
      </c>
      <c r="M1413" t="str">
        <f t="shared" si="155"/>
        <v/>
      </c>
      <c r="N1413" s="33" t="str">
        <f t="shared" si="156"/>
        <v/>
      </c>
      <c r="O1413" s="33" t="str">
        <f t="shared" si="157"/>
        <v/>
      </c>
      <c r="P1413" t="str">
        <f t="shared" si="158"/>
        <v/>
      </c>
      <c r="Q1413" s="33" t="str">
        <f t="shared" si="159"/>
        <v/>
      </c>
      <c r="R1413" s="39" t="str">
        <f t="shared" si="160"/>
        <v/>
      </c>
    </row>
    <row r="1414" spans="6:18" x14ac:dyDescent="0.25">
      <c r="F1414" s="35">
        <v>1408</v>
      </c>
      <c r="L1414" s="33" t="str">
        <f t="shared" si="154"/>
        <v/>
      </c>
      <c r="M1414" t="str">
        <f t="shared" si="155"/>
        <v/>
      </c>
      <c r="N1414" s="33" t="str">
        <f t="shared" si="156"/>
        <v/>
      </c>
      <c r="O1414" s="33" t="str">
        <f t="shared" si="157"/>
        <v/>
      </c>
      <c r="P1414" t="str">
        <f t="shared" si="158"/>
        <v/>
      </c>
      <c r="Q1414" s="33" t="str">
        <f t="shared" si="159"/>
        <v/>
      </c>
      <c r="R1414" s="39" t="str">
        <f t="shared" si="160"/>
        <v/>
      </c>
    </row>
    <row r="1415" spans="6:18" x14ac:dyDescent="0.25">
      <c r="F1415" s="35">
        <v>1409</v>
      </c>
      <c r="L1415" s="33" t="str">
        <f t="shared" si="154"/>
        <v/>
      </c>
      <c r="M1415" t="str">
        <f t="shared" si="155"/>
        <v/>
      </c>
      <c r="N1415" s="33" t="str">
        <f t="shared" si="156"/>
        <v/>
      </c>
      <c r="O1415" s="33" t="str">
        <f t="shared" si="157"/>
        <v/>
      </c>
      <c r="P1415" t="str">
        <f t="shared" si="158"/>
        <v/>
      </c>
      <c r="Q1415" s="33" t="str">
        <f t="shared" si="159"/>
        <v/>
      </c>
      <c r="R1415" s="39" t="str">
        <f t="shared" si="160"/>
        <v/>
      </c>
    </row>
    <row r="1416" spans="6:18" x14ac:dyDescent="0.25">
      <c r="F1416" s="35">
        <v>1410</v>
      </c>
      <c r="L1416" s="33" t="str">
        <f t="shared" ref="L1416:L1479" si="161">IF(G1416="","",$C$4*$C$6*$C$7/360)</f>
        <v/>
      </c>
      <c r="M1416" t="str">
        <f t="shared" ref="M1416:M1479" si="162">IF(G1416="","",IF(H1416=$G$2,100,0))</f>
        <v/>
      </c>
      <c r="N1416" s="33" t="str">
        <f t="shared" ref="N1416:N1479" si="163">IF(G1416="","",L1416+M1416)</f>
        <v/>
      </c>
      <c r="O1416" s="33" t="str">
        <f t="shared" ref="O1416:O1479" si="164">IF(G1416="","",1/(1+$C$5*K1416/360)^(J1416/K1416))</f>
        <v/>
      </c>
      <c r="P1416" t="str">
        <f t="shared" ref="P1416:P1479" si="165">IF(G1416="","",H1416-$C$12)</f>
        <v/>
      </c>
      <c r="Q1416" s="33" t="str">
        <f t="shared" ref="Q1416:Q1479" si="166">IF(G1416="","",(P1416/K1416))</f>
        <v/>
      </c>
      <c r="R1416" s="39" t="str">
        <f t="shared" ref="R1416:R1479" si="167">IF(G1416="","",N1416*O1416)</f>
        <v/>
      </c>
    </row>
    <row r="1417" spans="6:18" x14ac:dyDescent="0.25">
      <c r="F1417" s="35">
        <v>1411</v>
      </c>
      <c r="L1417" s="33" t="str">
        <f t="shared" si="161"/>
        <v/>
      </c>
      <c r="M1417" t="str">
        <f t="shared" si="162"/>
        <v/>
      </c>
      <c r="N1417" s="33" t="str">
        <f t="shared" si="163"/>
        <v/>
      </c>
      <c r="O1417" s="33" t="str">
        <f t="shared" si="164"/>
        <v/>
      </c>
      <c r="P1417" t="str">
        <f t="shared" si="165"/>
        <v/>
      </c>
      <c r="Q1417" s="33" t="str">
        <f t="shared" si="166"/>
        <v/>
      </c>
      <c r="R1417" s="39" t="str">
        <f t="shared" si="167"/>
        <v/>
      </c>
    </row>
    <row r="1418" spans="6:18" x14ac:dyDescent="0.25">
      <c r="F1418" s="35">
        <v>1412</v>
      </c>
      <c r="L1418" s="33" t="str">
        <f t="shared" si="161"/>
        <v/>
      </c>
      <c r="M1418" t="str">
        <f t="shared" si="162"/>
        <v/>
      </c>
      <c r="N1418" s="33" t="str">
        <f t="shared" si="163"/>
        <v/>
      </c>
      <c r="O1418" s="33" t="str">
        <f t="shared" si="164"/>
        <v/>
      </c>
      <c r="P1418" t="str">
        <f t="shared" si="165"/>
        <v/>
      </c>
      <c r="Q1418" s="33" t="str">
        <f t="shared" si="166"/>
        <v/>
      </c>
      <c r="R1418" s="39" t="str">
        <f t="shared" si="167"/>
        <v/>
      </c>
    </row>
    <row r="1419" spans="6:18" x14ac:dyDescent="0.25">
      <c r="F1419" s="35">
        <v>1413</v>
      </c>
      <c r="L1419" s="33" t="str">
        <f t="shared" si="161"/>
        <v/>
      </c>
      <c r="M1419" t="str">
        <f t="shared" si="162"/>
        <v/>
      </c>
      <c r="N1419" s="33" t="str">
        <f t="shared" si="163"/>
        <v/>
      </c>
      <c r="O1419" s="33" t="str">
        <f t="shared" si="164"/>
        <v/>
      </c>
      <c r="P1419" t="str">
        <f t="shared" si="165"/>
        <v/>
      </c>
      <c r="Q1419" s="33" t="str">
        <f t="shared" si="166"/>
        <v/>
      </c>
      <c r="R1419" s="39" t="str">
        <f t="shared" si="167"/>
        <v/>
      </c>
    </row>
    <row r="1420" spans="6:18" x14ac:dyDescent="0.25">
      <c r="F1420" s="35">
        <v>1414</v>
      </c>
      <c r="L1420" s="33" t="str">
        <f t="shared" si="161"/>
        <v/>
      </c>
      <c r="M1420" t="str">
        <f t="shared" si="162"/>
        <v/>
      </c>
      <c r="N1420" s="33" t="str">
        <f t="shared" si="163"/>
        <v/>
      </c>
      <c r="O1420" s="33" t="str">
        <f t="shared" si="164"/>
        <v/>
      </c>
      <c r="P1420" t="str">
        <f t="shared" si="165"/>
        <v/>
      </c>
      <c r="Q1420" s="33" t="str">
        <f t="shared" si="166"/>
        <v/>
      </c>
      <c r="R1420" s="39" t="str">
        <f t="shared" si="167"/>
        <v/>
      </c>
    </row>
    <row r="1421" spans="6:18" x14ac:dyDescent="0.25">
      <c r="F1421" s="35">
        <v>1415</v>
      </c>
      <c r="L1421" s="33" t="str">
        <f t="shared" si="161"/>
        <v/>
      </c>
      <c r="M1421" t="str">
        <f t="shared" si="162"/>
        <v/>
      </c>
      <c r="N1421" s="33" t="str">
        <f t="shared" si="163"/>
        <v/>
      </c>
      <c r="O1421" s="33" t="str">
        <f t="shared" si="164"/>
        <v/>
      </c>
      <c r="P1421" t="str">
        <f t="shared" si="165"/>
        <v/>
      </c>
      <c r="Q1421" s="33" t="str">
        <f t="shared" si="166"/>
        <v/>
      </c>
      <c r="R1421" s="39" t="str">
        <f t="shared" si="167"/>
        <v/>
      </c>
    </row>
    <row r="1422" spans="6:18" x14ac:dyDescent="0.25">
      <c r="F1422" s="35">
        <v>1416</v>
      </c>
      <c r="L1422" s="33" t="str">
        <f t="shared" si="161"/>
        <v/>
      </c>
      <c r="M1422" t="str">
        <f t="shared" si="162"/>
        <v/>
      </c>
      <c r="N1422" s="33" t="str">
        <f t="shared" si="163"/>
        <v/>
      </c>
      <c r="O1422" s="33" t="str">
        <f t="shared" si="164"/>
        <v/>
      </c>
      <c r="P1422" t="str">
        <f t="shared" si="165"/>
        <v/>
      </c>
      <c r="Q1422" s="33" t="str">
        <f t="shared" si="166"/>
        <v/>
      </c>
      <c r="R1422" s="39" t="str">
        <f t="shared" si="167"/>
        <v/>
      </c>
    </row>
    <row r="1423" spans="6:18" x14ac:dyDescent="0.25">
      <c r="F1423" s="35">
        <v>1417</v>
      </c>
      <c r="L1423" s="33" t="str">
        <f t="shared" si="161"/>
        <v/>
      </c>
      <c r="M1423" t="str">
        <f t="shared" si="162"/>
        <v/>
      </c>
      <c r="N1423" s="33" t="str">
        <f t="shared" si="163"/>
        <v/>
      </c>
      <c r="O1423" s="33" t="str">
        <f t="shared" si="164"/>
        <v/>
      </c>
      <c r="P1423" t="str">
        <f t="shared" si="165"/>
        <v/>
      </c>
      <c r="Q1423" s="33" t="str">
        <f t="shared" si="166"/>
        <v/>
      </c>
      <c r="R1423" s="39" t="str">
        <f t="shared" si="167"/>
        <v/>
      </c>
    </row>
    <row r="1424" spans="6:18" x14ac:dyDescent="0.25">
      <c r="F1424" s="35">
        <v>1418</v>
      </c>
      <c r="L1424" s="33" t="str">
        <f t="shared" si="161"/>
        <v/>
      </c>
      <c r="M1424" t="str">
        <f t="shared" si="162"/>
        <v/>
      </c>
      <c r="N1424" s="33" t="str">
        <f t="shared" si="163"/>
        <v/>
      </c>
      <c r="O1424" s="33" t="str">
        <f t="shared" si="164"/>
        <v/>
      </c>
      <c r="P1424" t="str">
        <f t="shared" si="165"/>
        <v/>
      </c>
      <c r="Q1424" s="33" t="str">
        <f t="shared" si="166"/>
        <v/>
      </c>
      <c r="R1424" s="39" t="str">
        <f t="shared" si="167"/>
        <v/>
      </c>
    </row>
    <row r="1425" spans="6:18" x14ac:dyDescent="0.25">
      <c r="F1425" s="35">
        <v>1419</v>
      </c>
      <c r="L1425" s="33" t="str">
        <f t="shared" si="161"/>
        <v/>
      </c>
      <c r="M1425" t="str">
        <f t="shared" si="162"/>
        <v/>
      </c>
      <c r="N1425" s="33" t="str">
        <f t="shared" si="163"/>
        <v/>
      </c>
      <c r="O1425" s="33" t="str">
        <f t="shared" si="164"/>
        <v/>
      </c>
      <c r="P1425" t="str">
        <f t="shared" si="165"/>
        <v/>
      </c>
      <c r="Q1425" s="33" t="str">
        <f t="shared" si="166"/>
        <v/>
      </c>
      <c r="R1425" s="39" t="str">
        <f t="shared" si="167"/>
        <v/>
      </c>
    </row>
    <row r="1426" spans="6:18" x14ac:dyDescent="0.25">
      <c r="F1426" s="35">
        <v>1420</v>
      </c>
      <c r="L1426" s="33" t="str">
        <f t="shared" si="161"/>
        <v/>
      </c>
      <c r="M1426" t="str">
        <f t="shared" si="162"/>
        <v/>
      </c>
      <c r="N1426" s="33" t="str">
        <f t="shared" si="163"/>
        <v/>
      </c>
      <c r="O1426" s="33" t="str">
        <f t="shared" si="164"/>
        <v/>
      </c>
      <c r="P1426" t="str">
        <f t="shared" si="165"/>
        <v/>
      </c>
      <c r="Q1426" s="33" t="str">
        <f t="shared" si="166"/>
        <v/>
      </c>
      <c r="R1426" s="39" t="str">
        <f t="shared" si="167"/>
        <v/>
      </c>
    </row>
    <row r="1427" spans="6:18" x14ac:dyDescent="0.25">
      <c r="F1427" s="35">
        <v>1421</v>
      </c>
      <c r="L1427" s="33" t="str">
        <f t="shared" si="161"/>
        <v/>
      </c>
      <c r="M1427" t="str">
        <f t="shared" si="162"/>
        <v/>
      </c>
      <c r="N1427" s="33" t="str">
        <f t="shared" si="163"/>
        <v/>
      </c>
      <c r="O1427" s="33" t="str">
        <f t="shared" si="164"/>
        <v/>
      </c>
      <c r="P1427" t="str">
        <f t="shared" si="165"/>
        <v/>
      </c>
      <c r="Q1427" s="33" t="str">
        <f t="shared" si="166"/>
        <v/>
      </c>
      <c r="R1427" s="39" t="str">
        <f t="shared" si="167"/>
        <v/>
      </c>
    </row>
    <row r="1428" spans="6:18" x14ac:dyDescent="0.25">
      <c r="F1428" s="35">
        <v>1422</v>
      </c>
      <c r="L1428" s="33" t="str">
        <f t="shared" si="161"/>
        <v/>
      </c>
      <c r="M1428" t="str">
        <f t="shared" si="162"/>
        <v/>
      </c>
      <c r="N1428" s="33" t="str">
        <f t="shared" si="163"/>
        <v/>
      </c>
      <c r="O1428" s="33" t="str">
        <f t="shared" si="164"/>
        <v/>
      </c>
      <c r="P1428" t="str">
        <f t="shared" si="165"/>
        <v/>
      </c>
      <c r="Q1428" s="33" t="str">
        <f t="shared" si="166"/>
        <v/>
      </c>
      <c r="R1428" s="39" t="str">
        <f t="shared" si="167"/>
        <v/>
      </c>
    </row>
    <row r="1429" spans="6:18" x14ac:dyDescent="0.25">
      <c r="F1429" s="35">
        <v>1423</v>
      </c>
      <c r="L1429" s="33" t="str">
        <f t="shared" si="161"/>
        <v/>
      </c>
      <c r="M1429" t="str">
        <f t="shared" si="162"/>
        <v/>
      </c>
      <c r="N1429" s="33" t="str">
        <f t="shared" si="163"/>
        <v/>
      </c>
      <c r="O1429" s="33" t="str">
        <f t="shared" si="164"/>
        <v/>
      </c>
      <c r="P1429" t="str">
        <f t="shared" si="165"/>
        <v/>
      </c>
      <c r="Q1429" s="33" t="str">
        <f t="shared" si="166"/>
        <v/>
      </c>
      <c r="R1429" s="39" t="str">
        <f t="shared" si="167"/>
        <v/>
      </c>
    </row>
    <row r="1430" spans="6:18" x14ac:dyDescent="0.25">
      <c r="F1430" s="35">
        <v>1424</v>
      </c>
      <c r="L1430" s="33" t="str">
        <f t="shared" si="161"/>
        <v/>
      </c>
      <c r="M1430" t="str">
        <f t="shared" si="162"/>
        <v/>
      </c>
      <c r="N1430" s="33" t="str">
        <f t="shared" si="163"/>
        <v/>
      </c>
      <c r="O1430" s="33" t="str">
        <f t="shared" si="164"/>
        <v/>
      </c>
      <c r="P1430" t="str">
        <f t="shared" si="165"/>
        <v/>
      </c>
      <c r="Q1430" s="33" t="str">
        <f t="shared" si="166"/>
        <v/>
      </c>
      <c r="R1430" s="39" t="str">
        <f t="shared" si="167"/>
        <v/>
      </c>
    </row>
    <row r="1431" spans="6:18" x14ac:dyDescent="0.25">
      <c r="F1431" s="35">
        <v>1425</v>
      </c>
      <c r="L1431" s="33" t="str">
        <f t="shared" si="161"/>
        <v/>
      </c>
      <c r="M1431" t="str">
        <f t="shared" si="162"/>
        <v/>
      </c>
      <c r="N1431" s="33" t="str">
        <f t="shared" si="163"/>
        <v/>
      </c>
      <c r="O1431" s="33" t="str">
        <f t="shared" si="164"/>
        <v/>
      </c>
      <c r="P1431" t="str">
        <f t="shared" si="165"/>
        <v/>
      </c>
      <c r="Q1431" s="33" t="str">
        <f t="shared" si="166"/>
        <v/>
      </c>
      <c r="R1431" s="39" t="str">
        <f t="shared" si="167"/>
        <v/>
      </c>
    </row>
    <row r="1432" spans="6:18" x14ac:dyDescent="0.25">
      <c r="F1432" s="35">
        <v>1426</v>
      </c>
      <c r="L1432" s="33" t="str">
        <f t="shared" si="161"/>
        <v/>
      </c>
      <c r="M1432" t="str">
        <f t="shared" si="162"/>
        <v/>
      </c>
      <c r="N1432" s="33" t="str">
        <f t="shared" si="163"/>
        <v/>
      </c>
      <c r="O1432" s="33" t="str">
        <f t="shared" si="164"/>
        <v/>
      </c>
      <c r="P1432" t="str">
        <f t="shared" si="165"/>
        <v/>
      </c>
      <c r="Q1432" s="33" t="str">
        <f t="shared" si="166"/>
        <v/>
      </c>
      <c r="R1432" s="39" t="str">
        <f t="shared" si="167"/>
        <v/>
      </c>
    </row>
    <row r="1433" spans="6:18" x14ac:dyDescent="0.25">
      <c r="F1433" s="35">
        <v>1427</v>
      </c>
      <c r="L1433" s="33" t="str">
        <f t="shared" si="161"/>
        <v/>
      </c>
      <c r="M1433" t="str">
        <f t="shared" si="162"/>
        <v/>
      </c>
      <c r="N1433" s="33" t="str">
        <f t="shared" si="163"/>
        <v/>
      </c>
      <c r="O1433" s="33" t="str">
        <f t="shared" si="164"/>
        <v/>
      </c>
      <c r="P1433" t="str">
        <f t="shared" si="165"/>
        <v/>
      </c>
      <c r="Q1433" s="33" t="str">
        <f t="shared" si="166"/>
        <v/>
      </c>
      <c r="R1433" s="39" t="str">
        <f t="shared" si="167"/>
        <v/>
      </c>
    </row>
    <row r="1434" spans="6:18" x14ac:dyDescent="0.25">
      <c r="F1434" s="35">
        <v>1428</v>
      </c>
      <c r="L1434" s="33" t="str">
        <f t="shared" si="161"/>
        <v/>
      </c>
      <c r="M1434" t="str">
        <f t="shared" si="162"/>
        <v/>
      </c>
      <c r="N1434" s="33" t="str">
        <f t="shared" si="163"/>
        <v/>
      </c>
      <c r="O1434" s="33" t="str">
        <f t="shared" si="164"/>
        <v/>
      </c>
      <c r="P1434" t="str">
        <f t="shared" si="165"/>
        <v/>
      </c>
      <c r="Q1434" s="33" t="str">
        <f t="shared" si="166"/>
        <v/>
      </c>
      <c r="R1434" s="39" t="str">
        <f t="shared" si="167"/>
        <v/>
      </c>
    </row>
    <row r="1435" spans="6:18" x14ac:dyDescent="0.25">
      <c r="F1435" s="35">
        <v>1429</v>
      </c>
      <c r="L1435" s="33" t="str">
        <f t="shared" si="161"/>
        <v/>
      </c>
      <c r="M1435" t="str">
        <f t="shared" si="162"/>
        <v/>
      </c>
      <c r="N1435" s="33" t="str">
        <f t="shared" si="163"/>
        <v/>
      </c>
      <c r="O1435" s="33" t="str">
        <f t="shared" si="164"/>
        <v/>
      </c>
      <c r="P1435" t="str">
        <f t="shared" si="165"/>
        <v/>
      </c>
      <c r="Q1435" s="33" t="str">
        <f t="shared" si="166"/>
        <v/>
      </c>
      <c r="R1435" s="39" t="str">
        <f t="shared" si="167"/>
        <v/>
      </c>
    </row>
    <row r="1436" spans="6:18" x14ac:dyDescent="0.25">
      <c r="F1436" s="35">
        <v>1430</v>
      </c>
      <c r="L1436" s="33" t="str">
        <f t="shared" si="161"/>
        <v/>
      </c>
      <c r="M1436" t="str">
        <f t="shared" si="162"/>
        <v/>
      </c>
      <c r="N1436" s="33" t="str">
        <f t="shared" si="163"/>
        <v/>
      </c>
      <c r="O1436" s="33" t="str">
        <f t="shared" si="164"/>
        <v/>
      </c>
      <c r="P1436" t="str">
        <f t="shared" si="165"/>
        <v/>
      </c>
      <c r="Q1436" s="33" t="str">
        <f t="shared" si="166"/>
        <v/>
      </c>
      <c r="R1436" s="39" t="str">
        <f t="shared" si="167"/>
        <v/>
      </c>
    </row>
    <row r="1437" spans="6:18" x14ac:dyDescent="0.25">
      <c r="F1437" s="35">
        <v>1431</v>
      </c>
      <c r="L1437" s="33" t="str">
        <f t="shared" si="161"/>
        <v/>
      </c>
      <c r="M1437" t="str">
        <f t="shared" si="162"/>
        <v/>
      </c>
      <c r="N1437" s="33" t="str">
        <f t="shared" si="163"/>
        <v/>
      </c>
      <c r="O1437" s="33" t="str">
        <f t="shared" si="164"/>
        <v/>
      </c>
      <c r="P1437" t="str">
        <f t="shared" si="165"/>
        <v/>
      </c>
      <c r="Q1437" s="33" t="str">
        <f t="shared" si="166"/>
        <v/>
      </c>
      <c r="R1437" s="39" t="str">
        <f t="shared" si="167"/>
        <v/>
      </c>
    </row>
    <row r="1438" spans="6:18" x14ac:dyDescent="0.25">
      <c r="F1438" s="35">
        <v>1432</v>
      </c>
      <c r="L1438" s="33" t="str">
        <f t="shared" si="161"/>
        <v/>
      </c>
      <c r="M1438" t="str">
        <f t="shared" si="162"/>
        <v/>
      </c>
      <c r="N1438" s="33" t="str">
        <f t="shared" si="163"/>
        <v/>
      </c>
      <c r="O1438" s="33" t="str">
        <f t="shared" si="164"/>
        <v/>
      </c>
      <c r="P1438" t="str">
        <f t="shared" si="165"/>
        <v/>
      </c>
      <c r="Q1438" s="33" t="str">
        <f t="shared" si="166"/>
        <v/>
      </c>
      <c r="R1438" s="39" t="str">
        <f t="shared" si="167"/>
        <v/>
      </c>
    </row>
    <row r="1439" spans="6:18" x14ac:dyDescent="0.25">
      <c r="F1439" s="35">
        <v>1433</v>
      </c>
      <c r="L1439" s="33" t="str">
        <f t="shared" si="161"/>
        <v/>
      </c>
      <c r="M1439" t="str">
        <f t="shared" si="162"/>
        <v/>
      </c>
      <c r="N1439" s="33" t="str">
        <f t="shared" si="163"/>
        <v/>
      </c>
      <c r="O1439" s="33" t="str">
        <f t="shared" si="164"/>
        <v/>
      </c>
      <c r="P1439" t="str">
        <f t="shared" si="165"/>
        <v/>
      </c>
      <c r="Q1439" s="33" t="str">
        <f t="shared" si="166"/>
        <v/>
      </c>
      <c r="R1439" s="39" t="str">
        <f t="shared" si="167"/>
        <v/>
      </c>
    </row>
    <row r="1440" spans="6:18" x14ac:dyDescent="0.25">
      <c r="F1440" s="35">
        <v>1434</v>
      </c>
      <c r="L1440" s="33" t="str">
        <f t="shared" si="161"/>
        <v/>
      </c>
      <c r="M1440" t="str">
        <f t="shared" si="162"/>
        <v/>
      </c>
      <c r="N1440" s="33" t="str">
        <f t="shared" si="163"/>
        <v/>
      </c>
      <c r="O1440" s="33" t="str">
        <f t="shared" si="164"/>
        <v/>
      </c>
      <c r="P1440" t="str">
        <f t="shared" si="165"/>
        <v/>
      </c>
      <c r="Q1440" s="33" t="str">
        <f t="shared" si="166"/>
        <v/>
      </c>
      <c r="R1440" s="39" t="str">
        <f t="shared" si="167"/>
        <v/>
      </c>
    </row>
    <row r="1441" spans="6:18" x14ac:dyDescent="0.25">
      <c r="F1441" s="35">
        <v>1435</v>
      </c>
      <c r="L1441" s="33" t="str">
        <f t="shared" si="161"/>
        <v/>
      </c>
      <c r="M1441" t="str">
        <f t="shared" si="162"/>
        <v/>
      </c>
      <c r="N1441" s="33" t="str">
        <f t="shared" si="163"/>
        <v/>
      </c>
      <c r="O1441" s="33" t="str">
        <f t="shared" si="164"/>
        <v/>
      </c>
      <c r="P1441" t="str">
        <f t="shared" si="165"/>
        <v/>
      </c>
      <c r="Q1441" s="33" t="str">
        <f t="shared" si="166"/>
        <v/>
      </c>
      <c r="R1441" s="39" t="str">
        <f t="shared" si="167"/>
        <v/>
      </c>
    </row>
    <row r="1442" spans="6:18" x14ac:dyDescent="0.25">
      <c r="F1442" s="35">
        <v>1436</v>
      </c>
      <c r="L1442" s="33" t="str">
        <f t="shared" si="161"/>
        <v/>
      </c>
      <c r="M1442" t="str">
        <f t="shared" si="162"/>
        <v/>
      </c>
      <c r="N1442" s="33" t="str">
        <f t="shared" si="163"/>
        <v/>
      </c>
      <c r="O1442" s="33" t="str">
        <f t="shared" si="164"/>
        <v/>
      </c>
      <c r="P1442" t="str">
        <f t="shared" si="165"/>
        <v/>
      </c>
      <c r="Q1442" s="33" t="str">
        <f t="shared" si="166"/>
        <v/>
      </c>
      <c r="R1442" s="39" t="str">
        <f t="shared" si="167"/>
        <v/>
      </c>
    </row>
    <row r="1443" spans="6:18" x14ac:dyDescent="0.25">
      <c r="F1443" s="35">
        <v>1437</v>
      </c>
      <c r="L1443" s="33" t="str">
        <f t="shared" si="161"/>
        <v/>
      </c>
      <c r="M1443" t="str">
        <f t="shared" si="162"/>
        <v/>
      </c>
      <c r="N1443" s="33" t="str">
        <f t="shared" si="163"/>
        <v/>
      </c>
      <c r="O1443" s="33" t="str">
        <f t="shared" si="164"/>
        <v/>
      </c>
      <c r="P1443" t="str">
        <f t="shared" si="165"/>
        <v/>
      </c>
      <c r="Q1443" s="33" t="str">
        <f t="shared" si="166"/>
        <v/>
      </c>
      <c r="R1443" s="39" t="str">
        <f t="shared" si="167"/>
        <v/>
      </c>
    </row>
    <row r="1444" spans="6:18" x14ac:dyDescent="0.25">
      <c r="F1444" s="35">
        <v>1438</v>
      </c>
      <c r="L1444" s="33" t="str">
        <f t="shared" si="161"/>
        <v/>
      </c>
      <c r="M1444" t="str">
        <f t="shared" si="162"/>
        <v/>
      </c>
      <c r="N1444" s="33" t="str">
        <f t="shared" si="163"/>
        <v/>
      </c>
      <c r="O1444" s="33" t="str">
        <f t="shared" si="164"/>
        <v/>
      </c>
      <c r="P1444" t="str">
        <f t="shared" si="165"/>
        <v/>
      </c>
      <c r="Q1444" s="33" t="str">
        <f t="shared" si="166"/>
        <v/>
      </c>
      <c r="R1444" s="39" t="str">
        <f t="shared" si="167"/>
        <v/>
      </c>
    </row>
    <row r="1445" spans="6:18" x14ac:dyDescent="0.25">
      <c r="F1445" s="35">
        <v>1439</v>
      </c>
      <c r="L1445" s="33" t="str">
        <f t="shared" si="161"/>
        <v/>
      </c>
      <c r="M1445" t="str">
        <f t="shared" si="162"/>
        <v/>
      </c>
      <c r="N1445" s="33" t="str">
        <f t="shared" si="163"/>
        <v/>
      </c>
      <c r="O1445" s="33" t="str">
        <f t="shared" si="164"/>
        <v/>
      </c>
      <c r="P1445" t="str">
        <f t="shared" si="165"/>
        <v/>
      </c>
      <c r="Q1445" s="33" t="str">
        <f t="shared" si="166"/>
        <v/>
      </c>
      <c r="R1445" s="39" t="str">
        <f t="shared" si="167"/>
        <v/>
      </c>
    </row>
    <row r="1446" spans="6:18" x14ac:dyDescent="0.25">
      <c r="F1446" s="35">
        <v>1440</v>
      </c>
      <c r="L1446" s="33" t="str">
        <f t="shared" si="161"/>
        <v/>
      </c>
      <c r="M1446" t="str">
        <f t="shared" si="162"/>
        <v/>
      </c>
      <c r="N1446" s="33" t="str">
        <f t="shared" si="163"/>
        <v/>
      </c>
      <c r="O1446" s="33" t="str">
        <f t="shared" si="164"/>
        <v/>
      </c>
      <c r="P1446" t="str">
        <f t="shared" si="165"/>
        <v/>
      </c>
      <c r="Q1446" s="33" t="str">
        <f t="shared" si="166"/>
        <v/>
      </c>
      <c r="R1446" s="39" t="str">
        <f t="shared" si="167"/>
        <v/>
      </c>
    </row>
    <row r="1447" spans="6:18" x14ac:dyDescent="0.25">
      <c r="F1447" s="35">
        <v>1441</v>
      </c>
      <c r="L1447" s="33" t="str">
        <f t="shared" si="161"/>
        <v/>
      </c>
      <c r="M1447" t="str">
        <f t="shared" si="162"/>
        <v/>
      </c>
      <c r="N1447" s="33" t="str">
        <f t="shared" si="163"/>
        <v/>
      </c>
      <c r="O1447" s="33" t="str">
        <f t="shared" si="164"/>
        <v/>
      </c>
      <c r="P1447" t="str">
        <f t="shared" si="165"/>
        <v/>
      </c>
      <c r="Q1447" s="33" t="str">
        <f t="shared" si="166"/>
        <v/>
      </c>
      <c r="R1447" s="39" t="str">
        <f t="shared" si="167"/>
        <v/>
      </c>
    </row>
    <row r="1448" spans="6:18" x14ac:dyDescent="0.25">
      <c r="F1448" s="35">
        <v>1442</v>
      </c>
      <c r="L1448" s="33" t="str">
        <f t="shared" si="161"/>
        <v/>
      </c>
      <c r="M1448" t="str">
        <f t="shared" si="162"/>
        <v/>
      </c>
      <c r="N1448" s="33" t="str">
        <f t="shared" si="163"/>
        <v/>
      </c>
      <c r="O1448" s="33" t="str">
        <f t="shared" si="164"/>
        <v/>
      </c>
      <c r="P1448" t="str">
        <f t="shared" si="165"/>
        <v/>
      </c>
      <c r="Q1448" s="33" t="str">
        <f t="shared" si="166"/>
        <v/>
      </c>
      <c r="R1448" s="39" t="str">
        <f t="shared" si="167"/>
        <v/>
      </c>
    </row>
    <row r="1449" spans="6:18" x14ac:dyDescent="0.25">
      <c r="F1449" s="35">
        <v>1443</v>
      </c>
      <c r="L1449" s="33" t="str">
        <f t="shared" si="161"/>
        <v/>
      </c>
      <c r="M1449" t="str">
        <f t="shared" si="162"/>
        <v/>
      </c>
      <c r="N1449" s="33" t="str">
        <f t="shared" si="163"/>
        <v/>
      </c>
      <c r="O1449" s="33" t="str">
        <f t="shared" si="164"/>
        <v/>
      </c>
      <c r="P1449" t="str">
        <f t="shared" si="165"/>
        <v/>
      </c>
      <c r="Q1449" s="33" t="str">
        <f t="shared" si="166"/>
        <v/>
      </c>
      <c r="R1449" s="39" t="str">
        <f t="shared" si="167"/>
        <v/>
      </c>
    </row>
    <row r="1450" spans="6:18" x14ac:dyDescent="0.25">
      <c r="F1450" s="35">
        <v>1444</v>
      </c>
      <c r="L1450" s="33" t="str">
        <f t="shared" si="161"/>
        <v/>
      </c>
      <c r="M1450" t="str">
        <f t="shared" si="162"/>
        <v/>
      </c>
      <c r="N1450" s="33" t="str">
        <f t="shared" si="163"/>
        <v/>
      </c>
      <c r="O1450" s="33" t="str">
        <f t="shared" si="164"/>
        <v/>
      </c>
      <c r="P1450" t="str">
        <f t="shared" si="165"/>
        <v/>
      </c>
      <c r="Q1450" s="33" t="str">
        <f t="shared" si="166"/>
        <v/>
      </c>
      <c r="R1450" s="39" t="str">
        <f t="shared" si="167"/>
        <v/>
      </c>
    </row>
    <row r="1451" spans="6:18" x14ac:dyDescent="0.25">
      <c r="F1451" s="35">
        <v>1445</v>
      </c>
      <c r="L1451" s="33" t="str">
        <f t="shared" si="161"/>
        <v/>
      </c>
      <c r="M1451" t="str">
        <f t="shared" si="162"/>
        <v/>
      </c>
      <c r="N1451" s="33" t="str">
        <f t="shared" si="163"/>
        <v/>
      </c>
      <c r="O1451" s="33" t="str">
        <f t="shared" si="164"/>
        <v/>
      </c>
      <c r="P1451" t="str">
        <f t="shared" si="165"/>
        <v/>
      </c>
      <c r="Q1451" s="33" t="str">
        <f t="shared" si="166"/>
        <v/>
      </c>
      <c r="R1451" s="39" t="str">
        <f t="shared" si="167"/>
        <v/>
      </c>
    </row>
    <row r="1452" spans="6:18" x14ac:dyDescent="0.25">
      <c r="F1452" s="35">
        <v>1446</v>
      </c>
      <c r="L1452" s="33" t="str">
        <f t="shared" si="161"/>
        <v/>
      </c>
      <c r="M1452" t="str">
        <f t="shared" si="162"/>
        <v/>
      </c>
      <c r="N1452" s="33" t="str">
        <f t="shared" si="163"/>
        <v/>
      </c>
      <c r="O1452" s="33" t="str">
        <f t="shared" si="164"/>
        <v/>
      </c>
      <c r="P1452" t="str">
        <f t="shared" si="165"/>
        <v/>
      </c>
      <c r="Q1452" s="33" t="str">
        <f t="shared" si="166"/>
        <v/>
      </c>
      <c r="R1452" s="39" t="str">
        <f t="shared" si="167"/>
        <v/>
      </c>
    </row>
    <row r="1453" spans="6:18" x14ac:dyDescent="0.25">
      <c r="F1453" s="35">
        <v>1447</v>
      </c>
      <c r="L1453" s="33" t="str">
        <f t="shared" si="161"/>
        <v/>
      </c>
      <c r="M1453" t="str">
        <f t="shared" si="162"/>
        <v/>
      </c>
      <c r="N1453" s="33" t="str">
        <f t="shared" si="163"/>
        <v/>
      </c>
      <c r="O1453" s="33" t="str">
        <f t="shared" si="164"/>
        <v/>
      </c>
      <c r="P1453" t="str">
        <f t="shared" si="165"/>
        <v/>
      </c>
      <c r="Q1453" s="33" t="str">
        <f t="shared" si="166"/>
        <v/>
      </c>
      <c r="R1453" s="39" t="str">
        <f t="shared" si="167"/>
        <v/>
      </c>
    </row>
    <row r="1454" spans="6:18" x14ac:dyDescent="0.25">
      <c r="F1454" s="35">
        <v>1448</v>
      </c>
      <c r="L1454" s="33" t="str">
        <f t="shared" si="161"/>
        <v/>
      </c>
      <c r="M1454" t="str">
        <f t="shared" si="162"/>
        <v/>
      </c>
      <c r="N1454" s="33" t="str">
        <f t="shared" si="163"/>
        <v/>
      </c>
      <c r="O1454" s="33" t="str">
        <f t="shared" si="164"/>
        <v/>
      </c>
      <c r="P1454" t="str">
        <f t="shared" si="165"/>
        <v/>
      </c>
      <c r="Q1454" s="33" t="str">
        <f t="shared" si="166"/>
        <v/>
      </c>
      <c r="R1454" s="39" t="str">
        <f t="shared" si="167"/>
        <v/>
      </c>
    </row>
    <row r="1455" spans="6:18" x14ac:dyDescent="0.25">
      <c r="F1455" s="35">
        <v>1449</v>
      </c>
      <c r="L1455" s="33" t="str">
        <f t="shared" si="161"/>
        <v/>
      </c>
      <c r="M1455" t="str">
        <f t="shared" si="162"/>
        <v/>
      </c>
      <c r="N1455" s="33" t="str">
        <f t="shared" si="163"/>
        <v/>
      </c>
      <c r="O1455" s="33" t="str">
        <f t="shared" si="164"/>
        <v/>
      </c>
      <c r="P1455" t="str">
        <f t="shared" si="165"/>
        <v/>
      </c>
      <c r="Q1455" s="33" t="str">
        <f t="shared" si="166"/>
        <v/>
      </c>
      <c r="R1455" s="39" t="str">
        <f t="shared" si="167"/>
        <v/>
      </c>
    </row>
    <row r="1456" spans="6:18" x14ac:dyDescent="0.25">
      <c r="F1456" s="35">
        <v>1450</v>
      </c>
      <c r="L1456" s="33" t="str">
        <f t="shared" si="161"/>
        <v/>
      </c>
      <c r="M1456" t="str">
        <f t="shared" si="162"/>
        <v/>
      </c>
      <c r="N1456" s="33" t="str">
        <f t="shared" si="163"/>
        <v/>
      </c>
      <c r="O1456" s="33" t="str">
        <f t="shared" si="164"/>
        <v/>
      </c>
      <c r="P1456" t="str">
        <f t="shared" si="165"/>
        <v/>
      </c>
      <c r="Q1456" s="33" t="str">
        <f t="shared" si="166"/>
        <v/>
      </c>
      <c r="R1456" s="39" t="str">
        <f t="shared" si="167"/>
        <v/>
      </c>
    </row>
    <row r="1457" spans="6:18" x14ac:dyDescent="0.25">
      <c r="F1457" s="35">
        <v>1451</v>
      </c>
      <c r="L1457" s="33" t="str">
        <f t="shared" si="161"/>
        <v/>
      </c>
      <c r="M1457" t="str">
        <f t="shared" si="162"/>
        <v/>
      </c>
      <c r="N1457" s="33" t="str">
        <f t="shared" si="163"/>
        <v/>
      </c>
      <c r="O1457" s="33" t="str">
        <f t="shared" si="164"/>
        <v/>
      </c>
      <c r="P1457" t="str">
        <f t="shared" si="165"/>
        <v/>
      </c>
      <c r="Q1457" s="33" t="str">
        <f t="shared" si="166"/>
        <v/>
      </c>
      <c r="R1457" s="39" t="str">
        <f t="shared" si="167"/>
        <v/>
      </c>
    </row>
    <row r="1458" spans="6:18" x14ac:dyDescent="0.25">
      <c r="F1458" s="35">
        <v>1452</v>
      </c>
      <c r="L1458" s="33" t="str">
        <f t="shared" si="161"/>
        <v/>
      </c>
      <c r="M1458" t="str">
        <f t="shared" si="162"/>
        <v/>
      </c>
      <c r="N1458" s="33" t="str">
        <f t="shared" si="163"/>
        <v/>
      </c>
      <c r="O1458" s="33" t="str">
        <f t="shared" si="164"/>
        <v/>
      </c>
      <c r="P1458" t="str">
        <f t="shared" si="165"/>
        <v/>
      </c>
      <c r="Q1458" s="33" t="str">
        <f t="shared" si="166"/>
        <v/>
      </c>
      <c r="R1458" s="39" t="str">
        <f t="shared" si="167"/>
        <v/>
      </c>
    </row>
    <row r="1459" spans="6:18" x14ac:dyDescent="0.25">
      <c r="F1459" s="35">
        <v>1453</v>
      </c>
      <c r="L1459" s="33" t="str">
        <f t="shared" si="161"/>
        <v/>
      </c>
      <c r="M1459" t="str">
        <f t="shared" si="162"/>
        <v/>
      </c>
      <c r="N1459" s="33" t="str">
        <f t="shared" si="163"/>
        <v/>
      </c>
      <c r="O1459" s="33" t="str">
        <f t="shared" si="164"/>
        <v/>
      </c>
      <c r="P1459" t="str">
        <f t="shared" si="165"/>
        <v/>
      </c>
      <c r="Q1459" s="33" t="str">
        <f t="shared" si="166"/>
        <v/>
      </c>
      <c r="R1459" s="39" t="str">
        <f t="shared" si="167"/>
        <v/>
      </c>
    </row>
    <row r="1460" spans="6:18" x14ac:dyDescent="0.25">
      <c r="F1460" s="35">
        <v>1454</v>
      </c>
      <c r="L1460" s="33" t="str">
        <f t="shared" si="161"/>
        <v/>
      </c>
      <c r="M1460" t="str">
        <f t="shared" si="162"/>
        <v/>
      </c>
      <c r="N1460" s="33" t="str">
        <f t="shared" si="163"/>
        <v/>
      </c>
      <c r="O1460" s="33" t="str">
        <f t="shared" si="164"/>
        <v/>
      </c>
      <c r="P1460" t="str">
        <f t="shared" si="165"/>
        <v/>
      </c>
      <c r="Q1460" s="33" t="str">
        <f t="shared" si="166"/>
        <v/>
      </c>
      <c r="R1460" s="39" t="str">
        <f t="shared" si="167"/>
        <v/>
      </c>
    </row>
    <row r="1461" spans="6:18" x14ac:dyDescent="0.25">
      <c r="F1461" s="35">
        <v>1455</v>
      </c>
      <c r="L1461" s="33" t="str">
        <f t="shared" si="161"/>
        <v/>
      </c>
      <c r="M1461" t="str">
        <f t="shared" si="162"/>
        <v/>
      </c>
      <c r="N1461" s="33" t="str">
        <f t="shared" si="163"/>
        <v/>
      </c>
      <c r="O1461" s="33" t="str">
        <f t="shared" si="164"/>
        <v/>
      </c>
      <c r="P1461" t="str">
        <f t="shared" si="165"/>
        <v/>
      </c>
      <c r="Q1461" s="33" t="str">
        <f t="shared" si="166"/>
        <v/>
      </c>
      <c r="R1461" s="39" t="str">
        <f t="shared" si="167"/>
        <v/>
      </c>
    </row>
    <row r="1462" spans="6:18" x14ac:dyDescent="0.25">
      <c r="F1462" s="35">
        <v>1456</v>
      </c>
      <c r="L1462" s="33" t="str">
        <f t="shared" si="161"/>
        <v/>
      </c>
      <c r="M1462" t="str">
        <f t="shared" si="162"/>
        <v/>
      </c>
      <c r="N1462" s="33" t="str">
        <f t="shared" si="163"/>
        <v/>
      </c>
      <c r="O1462" s="33" t="str">
        <f t="shared" si="164"/>
        <v/>
      </c>
      <c r="P1462" t="str">
        <f t="shared" si="165"/>
        <v/>
      </c>
      <c r="Q1462" s="33" t="str">
        <f t="shared" si="166"/>
        <v/>
      </c>
      <c r="R1462" s="39" t="str">
        <f t="shared" si="167"/>
        <v/>
      </c>
    </row>
    <row r="1463" spans="6:18" x14ac:dyDescent="0.25">
      <c r="F1463" s="35">
        <v>1457</v>
      </c>
      <c r="L1463" s="33" t="str">
        <f t="shared" si="161"/>
        <v/>
      </c>
      <c r="M1463" t="str">
        <f t="shared" si="162"/>
        <v/>
      </c>
      <c r="N1463" s="33" t="str">
        <f t="shared" si="163"/>
        <v/>
      </c>
      <c r="O1463" s="33" t="str">
        <f t="shared" si="164"/>
        <v/>
      </c>
      <c r="P1463" t="str">
        <f t="shared" si="165"/>
        <v/>
      </c>
      <c r="Q1463" s="33" t="str">
        <f t="shared" si="166"/>
        <v/>
      </c>
      <c r="R1463" s="39" t="str">
        <f t="shared" si="167"/>
        <v/>
      </c>
    </row>
    <row r="1464" spans="6:18" x14ac:dyDescent="0.25">
      <c r="F1464" s="35">
        <v>1458</v>
      </c>
      <c r="L1464" s="33" t="str">
        <f t="shared" si="161"/>
        <v/>
      </c>
      <c r="M1464" t="str">
        <f t="shared" si="162"/>
        <v/>
      </c>
      <c r="N1464" s="33" t="str">
        <f t="shared" si="163"/>
        <v/>
      </c>
      <c r="O1464" s="33" t="str">
        <f t="shared" si="164"/>
        <v/>
      </c>
      <c r="P1464" t="str">
        <f t="shared" si="165"/>
        <v/>
      </c>
      <c r="Q1464" s="33" t="str">
        <f t="shared" si="166"/>
        <v/>
      </c>
      <c r="R1464" s="39" t="str">
        <f t="shared" si="167"/>
        <v/>
      </c>
    </row>
    <row r="1465" spans="6:18" x14ac:dyDescent="0.25">
      <c r="F1465" s="35">
        <v>1459</v>
      </c>
      <c r="L1465" s="33" t="str">
        <f t="shared" si="161"/>
        <v/>
      </c>
      <c r="M1465" t="str">
        <f t="shared" si="162"/>
        <v/>
      </c>
      <c r="N1465" s="33" t="str">
        <f t="shared" si="163"/>
        <v/>
      </c>
      <c r="O1465" s="33" t="str">
        <f t="shared" si="164"/>
        <v/>
      </c>
      <c r="P1465" t="str">
        <f t="shared" si="165"/>
        <v/>
      </c>
      <c r="Q1465" s="33" t="str">
        <f t="shared" si="166"/>
        <v/>
      </c>
      <c r="R1465" s="39" t="str">
        <f t="shared" si="167"/>
        <v/>
      </c>
    </row>
    <row r="1466" spans="6:18" x14ac:dyDescent="0.25">
      <c r="F1466" s="35">
        <v>1460</v>
      </c>
      <c r="L1466" s="33" t="str">
        <f t="shared" si="161"/>
        <v/>
      </c>
      <c r="M1466" t="str">
        <f t="shared" si="162"/>
        <v/>
      </c>
      <c r="N1466" s="33" t="str">
        <f t="shared" si="163"/>
        <v/>
      </c>
      <c r="O1466" s="33" t="str">
        <f t="shared" si="164"/>
        <v/>
      </c>
      <c r="P1466" t="str">
        <f t="shared" si="165"/>
        <v/>
      </c>
      <c r="Q1466" s="33" t="str">
        <f t="shared" si="166"/>
        <v/>
      </c>
      <c r="R1466" s="39" t="str">
        <f t="shared" si="167"/>
        <v/>
      </c>
    </row>
    <row r="1467" spans="6:18" x14ac:dyDescent="0.25">
      <c r="F1467" s="35">
        <v>1461</v>
      </c>
      <c r="L1467" s="33" t="str">
        <f t="shared" si="161"/>
        <v/>
      </c>
      <c r="M1467" t="str">
        <f t="shared" si="162"/>
        <v/>
      </c>
      <c r="N1467" s="33" t="str">
        <f t="shared" si="163"/>
        <v/>
      </c>
      <c r="O1467" s="33" t="str">
        <f t="shared" si="164"/>
        <v/>
      </c>
      <c r="P1467" t="str">
        <f t="shared" si="165"/>
        <v/>
      </c>
      <c r="Q1467" s="33" t="str">
        <f t="shared" si="166"/>
        <v/>
      </c>
      <c r="R1467" s="39" t="str">
        <f t="shared" si="167"/>
        <v/>
      </c>
    </row>
    <row r="1468" spans="6:18" x14ac:dyDescent="0.25">
      <c r="F1468" s="35">
        <v>1462</v>
      </c>
      <c r="L1468" s="33" t="str">
        <f t="shared" si="161"/>
        <v/>
      </c>
      <c r="M1468" t="str">
        <f t="shared" si="162"/>
        <v/>
      </c>
      <c r="N1468" s="33" t="str">
        <f t="shared" si="163"/>
        <v/>
      </c>
      <c r="O1468" s="33" t="str">
        <f t="shared" si="164"/>
        <v/>
      </c>
      <c r="P1468" t="str">
        <f t="shared" si="165"/>
        <v/>
      </c>
      <c r="Q1468" s="33" t="str">
        <f t="shared" si="166"/>
        <v/>
      </c>
      <c r="R1468" s="39" t="str">
        <f t="shared" si="167"/>
        <v/>
      </c>
    </row>
    <row r="1469" spans="6:18" x14ac:dyDescent="0.25">
      <c r="F1469" s="35">
        <v>1463</v>
      </c>
      <c r="L1469" s="33" t="str">
        <f t="shared" si="161"/>
        <v/>
      </c>
      <c r="M1469" t="str">
        <f t="shared" si="162"/>
        <v/>
      </c>
      <c r="N1469" s="33" t="str">
        <f t="shared" si="163"/>
        <v/>
      </c>
      <c r="O1469" s="33" t="str">
        <f t="shared" si="164"/>
        <v/>
      </c>
      <c r="P1469" t="str">
        <f t="shared" si="165"/>
        <v/>
      </c>
      <c r="Q1469" s="33" t="str">
        <f t="shared" si="166"/>
        <v/>
      </c>
      <c r="R1469" s="39" t="str">
        <f t="shared" si="167"/>
        <v/>
      </c>
    </row>
    <row r="1470" spans="6:18" x14ac:dyDescent="0.25">
      <c r="F1470" s="35">
        <v>1464</v>
      </c>
      <c r="L1470" s="33" t="str">
        <f t="shared" si="161"/>
        <v/>
      </c>
      <c r="M1470" t="str">
        <f t="shared" si="162"/>
        <v/>
      </c>
      <c r="N1470" s="33" t="str">
        <f t="shared" si="163"/>
        <v/>
      </c>
      <c r="O1470" s="33" t="str">
        <f t="shared" si="164"/>
        <v/>
      </c>
      <c r="P1470" t="str">
        <f t="shared" si="165"/>
        <v/>
      </c>
      <c r="Q1470" s="33" t="str">
        <f t="shared" si="166"/>
        <v/>
      </c>
      <c r="R1470" s="39" t="str">
        <f t="shared" si="167"/>
        <v/>
      </c>
    </row>
    <row r="1471" spans="6:18" x14ac:dyDescent="0.25">
      <c r="F1471" s="35">
        <v>1465</v>
      </c>
      <c r="L1471" s="33" t="str">
        <f t="shared" si="161"/>
        <v/>
      </c>
      <c r="M1471" t="str">
        <f t="shared" si="162"/>
        <v/>
      </c>
      <c r="N1471" s="33" t="str">
        <f t="shared" si="163"/>
        <v/>
      </c>
      <c r="O1471" s="33" t="str">
        <f t="shared" si="164"/>
        <v/>
      </c>
      <c r="P1471" t="str">
        <f t="shared" si="165"/>
        <v/>
      </c>
      <c r="Q1471" s="33" t="str">
        <f t="shared" si="166"/>
        <v/>
      </c>
      <c r="R1471" s="39" t="str">
        <f t="shared" si="167"/>
        <v/>
      </c>
    </row>
    <row r="1472" spans="6:18" x14ac:dyDescent="0.25">
      <c r="F1472" s="35">
        <v>1466</v>
      </c>
      <c r="L1472" s="33" t="str">
        <f t="shared" si="161"/>
        <v/>
      </c>
      <c r="M1472" t="str">
        <f t="shared" si="162"/>
        <v/>
      </c>
      <c r="N1472" s="33" t="str">
        <f t="shared" si="163"/>
        <v/>
      </c>
      <c r="O1472" s="33" t="str">
        <f t="shared" si="164"/>
        <v/>
      </c>
      <c r="P1472" t="str">
        <f t="shared" si="165"/>
        <v/>
      </c>
      <c r="Q1472" s="33" t="str">
        <f t="shared" si="166"/>
        <v/>
      </c>
      <c r="R1472" s="39" t="str">
        <f t="shared" si="167"/>
        <v/>
      </c>
    </row>
    <row r="1473" spans="6:18" x14ac:dyDescent="0.25">
      <c r="F1473" s="35">
        <v>1467</v>
      </c>
      <c r="L1473" s="33" t="str">
        <f t="shared" si="161"/>
        <v/>
      </c>
      <c r="M1473" t="str">
        <f t="shared" si="162"/>
        <v/>
      </c>
      <c r="N1473" s="33" t="str">
        <f t="shared" si="163"/>
        <v/>
      </c>
      <c r="O1473" s="33" t="str">
        <f t="shared" si="164"/>
        <v/>
      </c>
      <c r="P1473" t="str">
        <f t="shared" si="165"/>
        <v/>
      </c>
      <c r="Q1473" s="33" t="str">
        <f t="shared" si="166"/>
        <v/>
      </c>
      <c r="R1473" s="39" t="str">
        <f t="shared" si="167"/>
        <v/>
      </c>
    </row>
    <row r="1474" spans="6:18" x14ac:dyDescent="0.25">
      <c r="F1474" s="35">
        <v>1468</v>
      </c>
      <c r="L1474" s="33" t="str">
        <f t="shared" si="161"/>
        <v/>
      </c>
      <c r="M1474" t="str">
        <f t="shared" si="162"/>
        <v/>
      </c>
      <c r="N1474" s="33" t="str">
        <f t="shared" si="163"/>
        <v/>
      </c>
      <c r="O1474" s="33" t="str">
        <f t="shared" si="164"/>
        <v/>
      </c>
      <c r="P1474" t="str">
        <f t="shared" si="165"/>
        <v/>
      </c>
      <c r="Q1474" s="33" t="str">
        <f t="shared" si="166"/>
        <v/>
      </c>
      <c r="R1474" s="39" t="str">
        <f t="shared" si="167"/>
        <v/>
      </c>
    </row>
    <row r="1475" spans="6:18" x14ac:dyDescent="0.25">
      <c r="F1475" s="35">
        <v>1469</v>
      </c>
      <c r="L1475" s="33" t="str">
        <f t="shared" si="161"/>
        <v/>
      </c>
      <c r="M1475" t="str">
        <f t="shared" si="162"/>
        <v/>
      </c>
      <c r="N1475" s="33" t="str">
        <f t="shared" si="163"/>
        <v/>
      </c>
      <c r="O1475" s="33" t="str">
        <f t="shared" si="164"/>
        <v/>
      </c>
      <c r="P1475" t="str">
        <f t="shared" si="165"/>
        <v/>
      </c>
      <c r="Q1475" s="33" t="str">
        <f t="shared" si="166"/>
        <v/>
      </c>
      <c r="R1475" s="39" t="str">
        <f t="shared" si="167"/>
        <v/>
      </c>
    </row>
    <row r="1476" spans="6:18" x14ac:dyDescent="0.25">
      <c r="F1476" s="35">
        <v>1470</v>
      </c>
      <c r="L1476" s="33" t="str">
        <f t="shared" si="161"/>
        <v/>
      </c>
      <c r="M1476" t="str">
        <f t="shared" si="162"/>
        <v/>
      </c>
      <c r="N1476" s="33" t="str">
        <f t="shared" si="163"/>
        <v/>
      </c>
      <c r="O1476" s="33" t="str">
        <f t="shared" si="164"/>
        <v/>
      </c>
      <c r="P1476" t="str">
        <f t="shared" si="165"/>
        <v/>
      </c>
      <c r="Q1476" s="33" t="str">
        <f t="shared" si="166"/>
        <v/>
      </c>
      <c r="R1476" s="39" t="str">
        <f t="shared" si="167"/>
        <v/>
      </c>
    </row>
    <row r="1477" spans="6:18" x14ac:dyDescent="0.25">
      <c r="F1477" s="35">
        <v>1471</v>
      </c>
      <c r="L1477" s="33" t="str">
        <f t="shared" si="161"/>
        <v/>
      </c>
      <c r="M1477" t="str">
        <f t="shared" si="162"/>
        <v/>
      </c>
      <c r="N1477" s="33" t="str">
        <f t="shared" si="163"/>
        <v/>
      </c>
      <c r="O1477" s="33" t="str">
        <f t="shared" si="164"/>
        <v/>
      </c>
      <c r="P1477" t="str">
        <f t="shared" si="165"/>
        <v/>
      </c>
      <c r="Q1477" s="33" t="str">
        <f t="shared" si="166"/>
        <v/>
      </c>
      <c r="R1477" s="39" t="str">
        <f t="shared" si="167"/>
        <v/>
      </c>
    </row>
    <row r="1478" spans="6:18" x14ac:dyDescent="0.25">
      <c r="F1478" s="35">
        <v>1472</v>
      </c>
      <c r="L1478" s="33" t="str">
        <f t="shared" si="161"/>
        <v/>
      </c>
      <c r="M1478" t="str">
        <f t="shared" si="162"/>
        <v/>
      </c>
      <c r="N1478" s="33" t="str">
        <f t="shared" si="163"/>
        <v/>
      </c>
      <c r="O1478" s="33" t="str">
        <f t="shared" si="164"/>
        <v/>
      </c>
      <c r="P1478" t="str">
        <f t="shared" si="165"/>
        <v/>
      </c>
      <c r="Q1478" s="33" t="str">
        <f t="shared" si="166"/>
        <v/>
      </c>
      <c r="R1478" s="39" t="str">
        <f t="shared" si="167"/>
        <v/>
      </c>
    </row>
    <row r="1479" spans="6:18" x14ac:dyDescent="0.25">
      <c r="F1479" s="35">
        <v>1473</v>
      </c>
      <c r="L1479" s="33" t="str">
        <f t="shared" si="161"/>
        <v/>
      </c>
      <c r="M1479" t="str">
        <f t="shared" si="162"/>
        <v/>
      </c>
      <c r="N1479" s="33" t="str">
        <f t="shared" si="163"/>
        <v/>
      </c>
      <c r="O1479" s="33" t="str">
        <f t="shared" si="164"/>
        <v/>
      </c>
      <c r="P1479" t="str">
        <f t="shared" si="165"/>
        <v/>
      </c>
      <c r="Q1479" s="33" t="str">
        <f t="shared" si="166"/>
        <v/>
      </c>
      <c r="R1479" s="39" t="str">
        <f t="shared" si="167"/>
        <v/>
      </c>
    </row>
    <row r="1480" spans="6:18" x14ac:dyDescent="0.25">
      <c r="F1480" s="35">
        <v>1474</v>
      </c>
      <c r="L1480" s="33" t="str">
        <f t="shared" ref="L1480:L1543" si="168">IF(G1480="","",$C$4*$C$6*$C$7/360)</f>
        <v/>
      </c>
      <c r="M1480" t="str">
        <f t="shared" ref="M1480:M1543" si="169">IF(G1480="","",IF(H1480=$G$2,100,0))</f>
        <v/>
      </c>
      <c r="N1480" s="33" t="str">
        <f t="shared" ref="N1480:N1543" si="170">IF(G1480="","",L1480+M1480)</f>
        <v/>
      </c>
      <c r="O1480" s="33" t="str">
        <f t="shared" ref="O1480:O1543" si="171">IF(G1480="","",1/(1+$C$5*K1480/360)^(J1480/K1480))</f>
        <v/>
      </c>
      <c r="P1480" t="str">
        <f t="shared" ref="P1480:P1543" si="172">IF(G1480="","",H1480-$C$12)</f>
        <v/>
      </c>
      <c r="Q1480" s="33" t="str">
        <f t="shared" ref="Q1480:Q1543" si="173">IF(G1480="","",(P1480/K1480))</f>
        <v/>
      </c>
      <c r="R1480" s="39" t="str">
        <f t="shared" ref="R1480:R1543" si="174">IF(G1480="","",N1480*O1480)</f>
        <v/>
      </c>
    </row>
    <row r="1481" spans="6:18" x14ac:dyDescent="0.25">
      <c r="F1481" s="35">
        <v>1475</v>
      </c>
      <c r="L1481" s="33" t="str">
        <f t="shared" si="168"/>
        <v/>
      </c>
      <c r="M1481" t="str">
        <f t="shared" si="169"/>
        <v/>
      </c>
      <c r="N1481" s="33" t="str">
        <f t="shared" si="170"/>
        <v/>
      </c>
      <c r="O1481" s="33" t="str">
        <f t="shared" si="171"/>
        <v/>
      </c>
      <c r="P1481" t="str">
        <f t="shared" si="172"/>
        <v/>
      </c>
      <c r="Q1481" s="33" t="str">
        <f t="shared" si="173"/>
        <v/>
      </c>
      <c r="R1481" s="39" t="str">
        <f t="shared" si="174"/>
        <v/>
      </c>
    </row>
    <row r="1482" spans="6:18" x14ac:dyDescent="0.25">
      <c r="F1482" s="35">
        <v>1476</v>
      </c>
      <c r="L1482" s="33" t="str">
        <f t="shared" si="168"/>
        <v/>
      </c>
      <c r="M1482" t="str">
        <f t="shared" si="169"/>
        <v/>
      </c>
      <c r="N1482" s="33" t="str">
        <f t="shared" si="170"/>
        <v/>
      </c>
      <c r="O1482" s="33" t="str">
        <f t="shared" si="171"/>
        <v/>
      </c>
      <c r="P1482" t="str">
        <f t="shared" si="172"/>
        <v/>
      </c>
      <c r="Q1482" s="33" t="str">
        <f t="shared" si="173"/>
        <v/>
      </c>
      <c r="R1482" s="39" t="str">
        <f t="shared" si="174"/>
        <v/>
      </c>
    </row>
    <row r="1483" spans="6:18" x14ac:dyDescent="0.25">
      <c r="F1483" s="35">
        <v>1477</v>
      </c>
      <c r="L1483" s="33" t="str">
        <f t="shared" si="168"/>
        <v/>
      </c>
      <c r="M1483" t="str">
        <f t="shared" si="169"/>
        <v/>
      </c>
      <c r="N1483" s="33" t="str">
        <f t="shared" si="170"/>
        <v/>
      </c>
      <c r="O1483" s="33" t="str">
        <f t="shared" si="171"/>
        <v/>
      </c>
      <c r="P1483" t="str">
        <f t="shared" si="172"/>
        <v/>
      </c>
      <c r="Q1483" s="33" t="str">
        <f t="shared" si="173"/>
        <v/>
      </c>
      <c r="R1483" s="39" t="str">
        <f t="shared" si="174"/>
        <v/>
      </c>
    </row>
    <row r="1484" spans="6:18" x14ac:dyDescent="0.25">
      <c r="F1484" s="35">
        <v>1478</v>
      </c>
      <c r="L1484" s="33" t="str">
        <f t="shared" si="168"/>
        <v/>
      </c>
      <c r="M1484" t="str">
        <f t="shared" si="169"/>
        <v/>
      </c>
      <c r="N1484" s="33" t="str">
        <f t="shared" si="170"/>
        <v/>
      </c>
      <c r="O1484" s="33" t="str">
        <f t="shared" si="171"/>
        <v/>
      </c>
      <c r="P1484" t="str">
        <f t="shared" si="172"/>
        <v/>
      </c>
      <c r="Q1484" s="33" t="str">
        <f t="shared" si="173"/>
        <v/>
      </c>
      <c r="R1484" s="39" t="str">
        <f t="shared" si="174"/>
        <v/>
      </c>
    </row>
    <row r="1485" spans="6:18" x14ac:dyDescent="0.25">
      <c r="F1485" s="35">
        <v>1479</v>
      </c>
      <c r="L1485" s="33" t="str">
        <f t="shared" si="168"/>
        <v/>
      </c>
      <c r="M1485" t="str">
        <f t="shared" si="169"/>
        <v/>
      </c>
      <c r="N1485" s="33" t="str">
        <f t="shared" si="170"/>
        <v/>
      </c>
      <c r="O1485" s="33" t="str">
        <f t="shared" si="171"/>
        <v/>
      </c>
      <c r="P1485" t="str">
        <f t="shared" si="172"/>
        <v/>
      </c>
      <c r="Q1485" s="33" t="str">
        <f t="shared" si="173"/>
        <v/>
      </c>
      <c r="R1485" s="39" t="str">
        <f t="shared" si="174"/>
        <v/>
      </c>
    </row>
    <row r="1486" spans="6:18" x14ac:dyDescent="0.25">
      <c r="F1486" s="35">
        <v>1480</v>
      </c>
      <c r="L1486" s="33" t="str">
        <f t="shared" si="168"/>
        <v/>
      </c>
      <c r="M1486" t="str">
        <f t="shared" si="169"/>
        <v/>
      </c>
      <c r="N1486" s="33" t="str">
        <f t="shared" si="170"/>
        <v/>
      </c>
      <c r="O1486" s="33" t="str">
        <f t="shared" si="171"/>
        <v/>
      </c>
      <c r="P1486" t="str">
        <f t="shared" si="172"/>
        <v/>
      </c>
      <c r="Q1486" s="33" t="str">
        <f t="shared" si="173"/>
        <v/>
      </c>
      <c r="R1486" s="39" t="str">
        <f t="shared" si="174"/>
        <v/>
      </c>
    </row>
    <row r="1487" spans="6:18" x14ac:dyDescent="0.25">
      <c r="F1487" s="35">
        <v>1481</v>
      </c>
      <c r="L1487" s="33" t="str">
        <f t="shared" si="168"/>
        <v/>
      </c>
      <c r="M1487" t="str">
        <f t="shared" si="169"/>
        <v/>
      </c>
      <c r="N1487" s="33" t="str">
        <f t="shared" si="170"/>
        <v/>
      </c>
      <c r="O1487" s="33" t="str">
        <f t="shared" si="171"/>
        <v/>
      </c>
      <c r="P1487" t="str">
        <f t="shared" si="172"/>
        <v/>
      </c>
      <c r="Q1487" s="33" t="str">
        <f t="shared" si="173"/>
        <v/>
      </c>
      <c r="R1487" s="39" t="str">
        <f t="shared" si="174"/>
        <v/>
      </c>
    </row>
    <row r="1488" spans="6:18" x14ac:dyDescent="0.25">
      <c r="F1488" s="35">
        <v>1482</v>
      </c>
      <c r="L1488" s="33" t="str">
        <f t="shared" si="168"/>
        <v/>
      </c>
      <c r="M1488" t="str">
        <f t="shared" si="169"/>
        <v/>
      </c>
      <c r="N1488" s="33" t="str">
        <f t="shared" si="170"/>
        <v/>
      </c>
      <c r="O1488" s="33" t="str">
        <f t="shared" si="171"/>
        <v/>
      </c>
      <c r="P1488" t="str">
        <f t="shared" si="172"/>
        <v/>
      </c>
      <c r="Q1488" s="33" t="str">
        <f t="shared" si="173"/>
        <v/>
      </c>
      <c r="R1488" s="39" t="str">
        <f t="shared" si="174"/>
        <v/>
      </c>
    </row>
    <row r="1489" spans="6:18" x14ac:dyDescent="0.25">
      <c r="F1489" s="35">
        <v>1483</v>
      </c>
      <c r="L1489" s="33" t="str">
        <f t="shared" si="168"/>
        <v/>
      </c>
      <c r="M1489" t="str">
        <f t="shared" si="169"/>
        <v/>
      </c>
      <c r="N1489" s="33" t="str">
        <f t="shared" si="170"/>
        <v/>
      </c>
      <c r="O1489" s="33" t="str">
        <f t="shared" si="171"/>
        <v/>
      </c>
      <c r="P1489" t="str">
        <f t="shared" si="172"/>
        <v/>
      </c>
      <c r="Q1489" s="33" t="str">
        <f t="shared" si="173"/>
        <v/>
      </c>
      <c r="R1489" s="39" t="str">
        <f t="shared" si="174"/>
        <v/>
      </c>
    </row>
    <row r="1490" spans="6:18" x14ac:dyDescent="0.25">
      <c r="F1490" s="35">
        <v>1484</v>
      </c>
      <c r="L1490" s="33" t="str">
        <f t="shared" si="168"/>
        <v/>
      </c>
      <c r="M1490" t="str">
        <f t="shared" si="169"/>
        <v/>
      </c>
      <c r="N1490" s="33" t="str">
        <f t="shared" si="170"/>
        <v/>
      </c>
      <c r="O1490" s="33" t="str">
        <f t="shared" si="171"/>
        <v/>
      </c>
      <c r="P1490" t="str">
        <f t="shared" si="172"/>
        <v/>
      </c>
      <c r="Q1490" s="33" t="str">
        <f t="shared" si="173"/>
        <v/>
      </c>
      <c r="R1490" s="39" t="str">
        <f t="shared" si="174"/>
        <v/>
      </c>
    </row>
    <row r="1491" spans="6:18" x14ac:dyDescent="0.25">
      <c r="F1491" s="35">
        <v>1485</v>
      </c>
      <c r="L1491" s="33" t="str">
        <f t="shared" si="168"/>
        <v/>
      </c>
      <c r="M1491" t="str">
        <f t="shared" si="169"/>
        <v/>
      </c>
      <c r="N1491" s="33" t="str">
        <f t="shared" si="170"/>
        <v/>
      </c>
      <c r="O1491" s="33" t="str">
        <f t="shared" si="171"/>
        <v/>
      </c>
      <c r="P1491" t="str">
        <f t="shared" si="172"/>
        <v/>
      </c>
      <c r="Q1491" s="33" t="str">
        <f t="shared" si="173"/>
        <v/>
      </c>
      <c r="R1491" s="39" t="str">
        <f t="shared" si="174"/>
        <v/>
      </c>
    </row>
    <row r="1492" spans="6:18" x14ac:dyDescent="0.25">
      <c r="F1492" s="35">
        <v>1486</v>
      </c>
      <c r="L1492" s="33" t="str">
        <f t="shared" si="168"/>
        <v/>
      </c>
      <c r="M1492" t="str">
        <f t="shared" si="169"/>
        <v/>
      </c>
      <c r="N1492" s="33" t="str">
        <f t="shared" si="170"/>
        <v/>
      </c>
      <c r="O1492" s="33" t="str">
        <f t="shared" si="171"/>
        <v/>
      </c>
      <c r="P1492" t="str">
        <f t="shared" si="172"/>
        <v/>
      </c>
      <c r="Q1492" s="33" t="str">
        <f t="shared" si="173"/>
        <v/>
      </c>
      <c r="R1492" s="39" t="str">
        <f t="shared" si="174"/>
        <v/>
      </c>
    </row>
    <row r="1493" spans="6:18" x14ac:dyDescent="0.25">
      <c r="F1493" s="35">
        <v>1487</v>
      </c>
      <c r="L1493" s="33" t="str">
        <f t="shared" si="168"/>
        <v/>
      </c>
      <c r="M1493" t="str">
        <f t="shared" si="169"/>
        <v/>
      </c>
      <c r="N1493" s="33" t="str">
        <f t="shared" si="170"/>
        <v/>
      </c>
      <c r="O1493" s="33" t="str">
        <f t="shared" si="171"/>
        <v/>
      </c>
      <c r="P1493" t="str">
        <f t="shared" si="172"/>
        <v/>
      </c>
      <c r="Q1493" s="33" t="str">
        <f t="shared" si="173"/>
        <v/>
      </c>
      <c r="R1493" s="39" t="str">
        <f t="shared" si="174"/>
        <v/>
      </c>
    </row>
    <row r="1494" spans="6:18" x14ac:dyDescent="0.25">
      <c r="F1494" s="35">
        <v>1488</v>
      </c>
      <c r="L1494" s="33" t="str">
        <f t="shared" si="168"/>
        <v/>
      </c>
      <c r="M1494" t="str">
        <f t="shared" si="169"/>
        <v/>
      </c>
      <c r="N1494" s="33" t="str">
        <f t="shared" si="170"/>
        <v/>
      </c>
      <c r="O1494" s="33" t="str">
        <f t="shared" si="171"/>
        <v/>
      </c>
      <c r="P1494" t="str">
        <f t="shared" si="172"/>
        <v/>
      </c>
      <c r="Q1494" s="33" t="str">
        <f t="shared" si="173"/>
        <v/>
      </c>
      <c r="R1494" s="39" t="str">
        <f t="shared" si="174"/>
        <v/>
      </c>
    </row>
    <row r="1495" spans="6:18" x14ac:dyDescent="0.25">
      <c r="F1495" s="35">
        <v>1489</v>
      </c>
      <c r="L1495" s="33" t="str">
        <f t="shared" si="168"/>
        <v/>
      </c>
      <c r="M1495" t="str">
        <f t="shared" si="169"/>
        <v/>
      </c>
      <c r="N1495" s="33" t="str">
        <f t="shared" si="170"/>
        <v/>
      </c>
      <c r="O1495" s="33" t="str">
        <f t="shared" si="171"/>
        <v/>
      </c>
      <c r="P1495" t="str">
        <f t="shared" si="172"/>
        <v/>
      </c>
      <c r="Q1495" s="33" t="str">
        <f t="shared" si="173"/>
        <v/>
      </c>
      <c r="R1495" s="39" t="str">
        <f t="shared" si="174"/>
        <v/>
      </c>
    </row>
    <row r="1496" spans="6:18" x14ac:dyDescent="0.25">
      <c r="F1496" s="35">
        <v>1490</v>
      </c>
      <c r="L1496" s="33" t="str">
        <f t="shared" si="168"/>
        <v/>
      </c>
      <c r="M1496" t="str">
        <f t="shared" si="169"/>
        <v/>
      </c>
      <c r="N1496" s="33" t="str">
        <f t="shared" si="170"/>
        <v/>
      </c>
      <c r="O1496" s="33" t="str">
        <f t="shared" si="171"/>
        <v/>
      </c>
      <c r="P1496" t="str">
        <f t="shared" si="172"/>
        <v/>
      </c>
      <c r="Q1496" s="33" t="str">
        <f t="shared" si="173"/>
        <v/>
      </c>
      <c r="R1496" s="39" t="str">
        <f t="shared" si="174"/>
        <v/>
      </c>
    </row>
    <row r="1497" spans="6:18" x14ac:dyDescent="0.25">
      <c r="F1497" s="35">
        <v>1491</v>
      </c>
      <c r="L1497" s="33" t="str">
        <f t="shared" si="168"/>
        <v/>
      </c>
      <c r="M1497" t="str">
        <f t="shared" si="169"/>
        <v/>
      </c>
      <c r="N1497" s="33" t="str">
        <f t="shared" si="170"/>
        <v/>
      </c>
      <c r="O1497" s="33" t="str">
        <f t="shared" si="171"/>
        <v/>
      </c>
      <c r="P1497" t="str">
        <f t="shared" si="172"/>
        <v/>
      </c>
      <c r="Q1497" s="33" t="str">
        <f t="shared" si="173"/>
        <v/>
      </c>
      <c r="R1497" s="39" t="str">
        <f t="shared" si="174"/>
        <v/>
      </c>
    </row>
    <row r="1498" spans="6:18" x14ac:dyDescent="0.25">
      <c r="F1498" s="35">
        <v>1492</v>
      </c>
      <c r="L1498" s="33" t="str">
        <f t="shared" si="168"/>
        <v/>
      </c>
      <c r="M1498" t="str">
        <f t="shared" si="169"/>
        <v/>
      </c>
      <c r="N1498" s="33" t="str">
        <f t="shared" si="170"/>
        <v/>
      </c>
      <c r="O1498" s="33" t="str">
        <f t="shared" si="171"/>
        <v/>
      </c>
      <c r="P1498" t="str">
        <f t="shared" si="172"/>
        <v/>
      </c>
      <c r="Q1498" s="33" t="str">
        <f t="shared" si="173"/>
        <v/>
      </c>
      <c r="R1498" s="39" t="str">
        <f t="shared" si="174"/>
        <v/>
      </c>
    </row>
    <row r="1499" spans="6:18" x14ac:dyDescent="0.25">
      <c r="F1499" s="35">
        <v>1493</v>
      </c>
      <c r="L1499" s="33" t="str">
        <f t="shared" si="168"/>
        <v/>
      </c>
      <c r="M1499" t="str">
        <f t="shared" si="169"/>
        <v/>
      </c>
      <c r="N1499" s="33" t="str">
        <f t="shared" si="170"/>
        <v/>
      </c>
      <c r="O1499" s="33" t="str">
        <f t="shared" si="171"/>
        <v/>
      </c>
      <c r="P1499" t="str">
        <f t="shared" si="172"/>
        <v/>
      </c>
      <c r="Q1499" s="33" t="str">
        <f t="shared" si="173"/>
        <v/>
      </c>
      <c r="R1499" s="39" t="str">
        <f t="shared" si="174"/>
        <v/>
      </c>
    </row>
    <row r="1500" spans="6:18" x14ac:dyDescent="0.25">
      <c r="F1500" s="35">
        <v>1494</v>
      </c>
      <c r="L1500" s="33" t="str">
        <f t="shared" si="168"/>
        <v/>
      </c>
      <c r="M1500" t="str">
        <f t="shared" si="169"/>
        <v/>
      </c>
      <c r="N1500" s="33" t="str">
        <f t="shared" si="170"/>
        <v/>
      </c>
      <c r="O1500" s="33" t="str">
        <f t="shared" si="171"/>
        <v/>
      </c>
      <c r="P1500" t="str">
        <f t="shared" si="172"/>
        <v/>
      </c>
      <c r="Q1500" s="33" t="str">
        <f t="shared" si="173"/>
        <v/>
      </c>
      <c r="R1500" s="39" t="str">
        <f t="shared" si="174"/>
        <v/>
      </c>
    </row>
    <row r="1501" spans="6:18" x14ac:dyDescent="0.25">
      <c r="F1501" s="35">
        <v>1495</v>
      </c>
      <c r="L1501" s="33" t="str">
        <f t="shared" si="168"/>
        <v/>
      </c>
      <c r="M1501" t="str">
        <f t="shared" si="169"/>
        <v/>
      </c>
      <c r="N1501" s="33" t="str">
        <f t="shared" si="170"/>
        <v/>
      </c>
      <c r="O1501" s="33" t="str">
        <f t="shared" si="171"/>
        <v/>
      </c>
      <c r="P1501" t="str">
        <f t="shared" si="172"/>
        <v/>
      </c>
      <c r="Q1501" s="33" t="str">
        <f t="shared" si="173"/>
        <v/>
      </c>
      <c r="R1501" s="39" t="str">
        <f t="shared" si="174"/>
        <v/>
      </c>
    </row>
    <row r="1502" spans="6:18" x14ac:dyDescent="0.25">
      <c r="F1502" s="35">
        <v>1496</v>
      </c>
      <c r="L1502" s="33" t="str">
        <f t="shared" si="168"/>
        <v/>
      </c>
      <c r="M1502" t="str">
        <f t="shared" si="169"/>
        <v/>
      </c>
      <c r="N1502" s="33" t="str">
        <f t="shared" si="170"/>
        <v/>
      </c>
      <c r="O1502" s="33" t="str">
        <f t="shared" si="171"/>
        <v/>
      </c>
      <c r="P1502" t="str">
        <f t="shared" si="172"/>
        <v/>
      </c>
      <c r="Q1502" s="33" t="str">
        <f t="shared" si="173"/>
        <v/>
      </c>
      <c r="R1502" s="39" t="str">
        <f t="shared" si="174"/>
        <v/>
      </c>
    </row>
    <row r="1503" spans="6:18" x14ac:dyDescent="0.25">
      <c r="F1503" s="35">
        <v>1497</v>
      </c>
      <c r="L1503" s="33" t="str">
        <f t="shared" si="168"/>
        <v/>
      </c>
      <c r="M1503" t="str">
        <f t="shared" si="169"/>
        <v/>
      </c>
      <c r="N1503" s="33" t="str">
        <f t="shared" si="170"/>
        <v/>
      </c>
      <c r="O1503" s="33" t="str">
        <f t="shared" si="171"/>
        <v/>
      </c>
      <c r="P1503" t="str">
        <f t="shared" si="172"/>
        <v/>
      </c>
      <c r="Q1503" s="33" t="str">
        <f t="shared" si="173"/>
        <v/>
      </c>
      <c r="R1503" s="39" t="str">
        <f t="shared" si="174"/>
        <v/>
      </c>
    </row>
    <row r="1504" spans="6:18" x14ac:dyDescent="0.25">
      <c r="F1504" s="35">
        <v>1498</v>
      </c>
      <c r="L1504" s="33" t="str">
        <f t="shared" si="168"/>
        <v/>
      </c>
      <c r="M1504" t="str">
        <f t="shared" si="169"/>
        <v/>
      </c>
      <c r="N1504" s="33" t="str">
        <f t="shared" si="170"/>
        <v/>
      </c>
      <c r="O1504" s="33" t="str">
        <f t="shared" si="171"/>
        <v/>
      </c>
      <c r="P1504" t="str">
        <f t="shared" si="172"/>
        <v/>
      </c>
      <c r="Q1504" s="33" t="str">
        <f t="shared" si="173"/>
        <v/>
      </c>
      <c r="R1504" s="39" t="str">
        <f t="shared" si="174"/>
        <v/>
      </c>
    </row>
    <row r="1505" spans="6:18" x14ac:dyDescent="0.25">
      <c r="F1505" s="35">
        <v>1499</v>
      </c>
      <c r="L1505" s="33" t="str">
        <f t="shared" si="168"/>
        <v/>
      </c>
      <c r="M1505" t="str">
        <f t="shared" si="169"/>
        <v/>
      </c>
      <c r="N1505" s="33" t="str">
        <f t="shared" si="170"/>
        <v/>
      </c>
      <c r="O1505" s="33" t="str">
        <f t="shared" si="171"/>
        <v/>
      </c>
      <c r="P1505" t="str">
        <f t="shared" si="172"/>
        <v/>
      </c>
      <c r="Q1505" s="33" t="str">
        <f t="shared" si="173"/>
        <v/>
      </c>
      <c r="R1505" s="39" t="str">
        <f t="shared" si="174"/>
        <v/>
      </c>
    </row>
    <row r="1506" spans="6:18" x14ac:dyDescent="0.25">
      <c r="F1506" s="35">
        <v>1500</v>
      </c>
      <c r="L1506" s="33" t="str">
        <f t="shared" si="168"/>
        <v/>
      </c>
      <c r="M1506" t="str">
        <f t="shared" si="169"/>
        <v/>
      </c>
      <c r="N1506" s="33" t="str">
        <f t="shared" si="170"/>
        <v/>
      </c>
      <c r="O1506" s="33" t="str">
        <f t="shared" si="171"/>
        <v/>
      </c>
      <c r="P1506" t="str">
        <f t="shared" si="172"/>
        <v/>
      </c>
      <c r="Q1506" s="33" t="str">
        <f t="shared" si="173"/>
        <v/>
      </c>
      <c r="R1506" s="39" t="str">
        <f t="shared" si="174"/>
        <v/>
      </c>
    </row>
    <row r="1507" spans="6:18" x14ac:dyDescent="0.25">
      <c r="F1507" s="35">
        <v>1501</v>
      </c>
      <c r="L1507" s="33" t="str">
        <f t="shared" si="168"/>
        <v/>
      </c>
      <c r="M1507" t="str">
        <f t="shared" si="169"/>
        <v/>
      </c>
      <c r="N1507" s="33" t="str">
        <f t="shared" si="170"/>
        <v/>
      </c>
      <c r="O1507" s="33" t="str">
        <f t="shared" si="171"/>
        <v/>
      </c>
      <c r="P1507" t="str">
        <f t="shared" si="172"/>
        <v/>
      </c>
      <c r="Q1507" s="33" t="str">
        <f t="shared" si="173"/>
        <v/>
      </c>
      <c r="R1507" s="39" t="str">
        <f t="shared" si="174"/>
        <v/>
      </c>
    </row>
    <row r="1508" spans="6:18" x14ac:dyDescent="0.25">
      <c r="F1508" s="35">
        <v>1502</v>
      </c>
      <c r="L1508" s="33" t="str">
        <f t="shared" si="168"/>
        <v/>
      </c>
      <c r="M1508" t="str">
        <f t="shared" si="169"/>
        <v/>
      </c>
      <c r="N1508" s="33" t="str">
        <f t="shared" si="170"/>
        <v/>
      </c>
      <c r="O1508" s="33" t="str">
        <f t="shared" si="171"/>
        <v/>
      </c>
      <c r="P1508" t="str">
        <f t="shared" si="172"/>
        <v/>
      </c>
      <c r="Q1508" s="33" t="str">
        <f t="shared" si="173"/>
        <v/>
      </c>
      <c r="R1508" s="39" t="str">
        <f t="shared" si="174"/>
        <v/>
      </c>
    </row>
    <row r="1509" spans="6:18" x14ac:dyDescent="0.25">
      <c r="F1509" s="35">
        <v>1503</v>
      </c>
      <c r="L1509" s="33" t="str">
        <f t="shared" si="168"/>
        <v/>
      </c>
      <c r="M1509" t="str">
        <f t="shared" si="169"/>
        <v/>
      </c>
      <c r="N1509" s="33" t="str">
        <f t="shared" si="170"/>
        <v/>
      </c>
      <c r="O1509" s="33" t="str">
        <f t="shared" si="171"/>
        <v/>
      </c>
      <c r="P1509" t="str">
        <f t="shared" si="172"/>
        <v/>
      </c>
      <c r="Q1509" s="33" t="str">
        <f t="shared" si="173"/>
        <v/>
      </c>
      <c r="R1509" s="39" t="str">
        <f t="shared" si="174"/>
        <v/>
      </c>
    </row>
    <row r="1510" spans="6:18" x14ac:dyDescent="0.25">
      <c r="F1510" s="35">
        <v>1504</v>
      </c>
      <c r="L1510" s="33" t="str">
        <f t="shared" si="168"/>
        <v/>
      </c>
      <c r="M1510" t="str">
        <f t="shared" si="169"/>
        <v/>
      </c>
      <c r="N1510" s="33" t="str">
        <f t="shared" si="170"/>
        <v/>
      </c>
      <c r="O1510" s="33" t="str">
        <f t="shared" si="171"/>
        <v/>
      </c>
      <c r="P1510" t="str">
        <f t="shared" si="172"/>
        <v/>
      </c>
      <c r="Q1510" s="33" t="str">
        <f t="shared" si="173"/>
        <v/>
      </c>
      <c r="R1510" s="39" t="str">
        <f t="shared" si="174"/>
        <v/>
      </c>
    </row>
    <row r="1511" spans="6:18" x14ac:dyDescent="0.25">
      <c r="F1511" s="35">
        <v>1505</v>
      </c>
      <c r="L1511" s="33" t="str">
        <f t="shared" si="168"/>
        <v/>
      </c>
      <c r="M1511" t="str">
        <f t="shared" si="169"/>
        <v/>
      </c>
      <c r="N1511" s="33" t="str">
        <f t="shared" si="170"/>
        <v/>
      </c>
      <c r="O1511" s="33" t="str">
        <f t="shared" si="171"/>
        <v/>
      </c>
      <c r="P1511" t="str">
        <f t="shared" si="172"/>
        <v/>
      </c>
      <c r="Q1511" s="33" t="str">
        <f t="shared" si="173"/>
        <v/>
      </c>
      <c r="R1511" s="39" t="str">
        <f t="shared" si="174"/>
        <v/>
      </c>
    </row>
    <row r="1512" spans="6:18" x14ac:dyDescent="0.25">
      <c r="F1512" s="35">
        <v>1506</v>
      </c>
      <c r="L1512" s="33" t="str">
        <f t="shared" si="168"/>
        <v/>
      </c>
      <c r="M1512" t="str">
        <f t="shared" si="169"/>
        <v/>
      </c>
      <c r="N1512" s="33" t="str">
        <f t="shared" si="170"/>
        <v/>
      </c>
      <c r="O1512" s="33" t="str">
        <f t="shared" si="171"/>
        <v/>
      </c>
      <c r="P1512" t="str">
        <f t="shared" si="172"/>
        <v/>
      </c>
      <c r="Q1512" s="33" t="str">
        <f t="shared" si="173"/>
        <v/>
      </c>
      <c r="R1512" s="39" t="str">
        <f t="shared" si="174"/>
        <v/>
      </c>
    </row>
    <row r="1513" spans="6:18" x14ac:dyDescent="0.25">
      <c r="F1513" s="35">
        <v>1507</v>
      </c>
      <c r="L1513" s="33" t="str">
        <f t="shared" si="168"/>
        <v/>
      </c>
      <c r="M1513" t="str">
        <f t="shared" si="169"/>
        <v/>
      </c>
      <c r="N1513" s="33" t="str">
        <f t="shared" si="170"/>
        <v/>
      </c>
      <c r="O1513" s="33" t="str">
        <f t="shared" si="171"/>
        <v/>
      </c>
      <c r="P1513" t="str">
        <f t="shared" si="172"/>
        <v/>
      </c>
      <c r="Q1513" s="33" t="str">
        <f t="shared" si="173"/>
        <v/>
      </c>
      <c r="R1513" s="39" t="str">
        <f t="shared" si="174"/>
        <v/>
      </c>
    </row>
    <row r="1514" spans="6:18" x14ac:dyDescent="0.25">
      <c r="F1514" s="35">
        <v>1508</v>
      </c>
      <c r="L1514" s="33" t="str">
        <f t="shared" si="168"/>
        <v/>
      </c>
      <c r="M1514" t="str">
        <f t="shared" si="169"/>
        <v/>
      </c>
      <c r="N1514" s="33" t="str">
        <f t="shared" si="170"/>
        <v/>
      </c>
      <c r="O1514" s="33" t="str">
        <f t="shared" si="171"/>
        <v/>
      </c>
      <c r="P1514" t="str">
        <f t="shared" si="172"/>
        <v/>
      </c>
      <c r="Q1514" s="33" t="str">
        <f t="shared" si="173"/>
        <v/>
      </c>
      <c r="R1514" s="39" t="str">
        <f t="shared" si="174"/>
        <v/>
      </c>
    </row>
    <row r="1515" spans="6:18" x14ac:dyDescent="0.25">
      <c r="F1515" s="35">
        <v>1509</v>
      </c>
      <c r="L1515" s="33" t="str">
        <f t="shared" si="168"/>
        <v/>
      </c>
      <c r="M1515" t="str">
        <f t="shared" si="169"/>
        <v/>
      </c>
      <c r="N1515" s="33" t="str">
        <f t="shared" si="170"/>
        <v/>
      </c>
      <c r="O1515" s="33" t="str">
        <f t="shared" si="171"/>
        <v/>
      </c>
      <c r="P1515" t="str">
        <f t="shared" si="172"/>
        <v/>
      </c>
      <c r="Q1515" s="33" t="str">
        <f t="shared" si="173"/>
        <v/>
      </c>
      <c r="R1515" s="39" t="str">
        <f t="shared" si="174"/>
        <v/>
      </c>
    </row>
    <row r="1516" spans="6:18" x14ac:dyDescent="0.25">
      <c r="F1516" s="35">
        <v>1510</v>
      </c>
      <c r="L1516" s="33" t="str">
        <f t="shared" si="168"/>
        <v/>
      </c>
      <c r="M1516" t="str">
        <f t="shared" si="169"/>
        <v/>
      </c>
      <c r="N1516" s="33" t="str">
        <f t="shared" si="170"/>
        <v/>
      </c>
      <c r="O1516" s="33" t="str">
        <f t="shared" si="171"/>
        <v/>
      </c>
      <c r="P1516" t="str">
        <f t="shared" si="172"/>
        <v/>
      </c>
      <c r="Q1516" s="33" t="str">
        <f t="shared" si="173"/>
        <v/>
      </c>
      <c r="R1516" s="39" t="str">
        <f t="shared" si="174"/>
        <v/>
      </c>
    </row>
    <row r="1517" spans="6:18" x14ac:dyDescent="0.25">
      <c r="F1517" s="35">
        <v>1511</v>
      </c>
      <c r="L1517" s="33" t="str">
        <f t="shared" si="168"/>
        <v/>
      </c>
      <c r="M1517" t="str">
        <f t="shared" si="169"/>
        <v/>
      </c>
      <c r="N1517" s="33" t="str">
        <f t="shared" si="170"/>
        <v/>
      </c>
      <c r="O1517" s="33" t="str">
        <f t="shared" si="171"/>
        <v/>
      </c>
      <c r="P1517" t="str">
        <f t="shared" si="172"/>
        <v/>
      </c>
      <c r="Q1517" s="33" t="str">
        <f t="shared" si="173"/>
        <v/>
      </c>
      <c r="R1517" s="39" t="str">
        <f t="shared" si="174"/>
        <v/>
      </c>
    </row>
    <row r="1518" spans="6:18" x14ac:dyDescent="0.25">
      <c r="F1518" s="35">
        <v>1512</v>
      </c>
      <c r="L1518" s="33" t="str">
        <f t="shared" si="168"/>
        <v/>
      </c>
      <c r="M1518" t="str">
        <f t="shared" si="169"/>
        <v/>
      </c>
      <c r="N1518" s="33" t="str">
        <f t="shared" si="170"/>
        <v/>
      </c>
      <c r="O1518" s="33" t="str">
        <f t="shared" si="171"/>
        <v/>
      </c>
      <c r="P1518" t="str">
        <f t="shared" si="172"/>
        <v/>
      </c>
      <c r="Q1518" s="33" t="str">
        <f t="shared" si="173"/>
        <v/>
      </c>
      <c r="R1518" s="39" t="str">
        <f t="shared" si="174"/>
        <v/>
      </c>
    </row>
    <row r="1519" spans="6:18" x14ac:dyDescent="0.25">
      <c r="F1519" s="35">
        <v>1513</v>
      </c>
      <c r="L1519" s="33" t="str">
        <f t="shared" si="168"/>
        <v/>
      </c>
      <c r="M1519" t="str">
        <f t="shared" si="169"/>
        <v/>
      </c>
      <c r="N1519" s="33" t="str">
        <f t="shared" si="170"/>
        <v/>
      </c>
      <c r="O1519" s="33" t="str">
        <f t="shared" si="171"/>
        <v/>
      </c>
      <c r="P1519" t="str">
        <f t="shared" si="172"/>
        <v/>
      </c>
      <c r="Q1519" s="33" t="str">
        <f t="shared" si="173"/>
        <v/>
      </c>
      <c r="R1519" s="39" t="str">
        <f t="shared" si="174"/>
        <v/>
      </c>
    </row>
    <row r="1520" spans="6:18" x14ac:dyDescent="0.25">
      <c r="F1520" s="35">
        <v>1514</v>
      </c>
      <c r="L1520" s="33" t="str">
        <f t="shared" si="168"/>
        <v/>
      </c>
      <c r="M1520" t="str">
        <f t="shared" si="169"/>
        <v/>
      </c>
      <c r="N1520" s="33" t="str">
        <f t="shared" si="170"/>
        <v/>
      </c>
      <c r="O1520" s="33" t="str">
        <f t="shared" si="171"/>
        <v/>
      </c>
      <c r="P1520" t="str">
        <f t="shared" si="172"/>
        <v/>
      </c>
      <c r="Q1520" s="33" t="str">
        <f t="shared" si="173"/>
        <v/>
      </c>
      <c r="R1520" s="39" t="str">
        <f t="shared" si="174"/>
        <v/>
      </c>
    </row>
    <row r="1521" spans="6:18" x14ac:dyDescent="0.25">
      <c r="F1521" s="35">
        <v>1515</v>
      </c>
      <c r="L1521" s="33" t="str">
        <f t="shared" si="168"/>
        <v/>
      </c>
      <c r="M1521" t="str">
        <f t="shared" si="169"/>
        <v/>
      </c>
      <c r="N1521" s="33" t="str">
        <f t="shared" si="170"/>
        <v/>
      </c>
      <c r="O1521" s="33" t="str">
        <f t="shared" si="171"/>
        <v/>
      </c>
      <c r="P1521" t="str">
        <f t="shared" si="172"/>
        <v/>
      </c>
      <c r="Q1521" s="33" t="str">
        <f t="shared" si="173"/>
        <v/>
      </c>
      <c r="R1521" s="39" t="str">
        <f t="shared" si="174"/>
        <v/>
      </c>
    </row>
    <row r="1522" spans="6:18" x14ac:dyDescent="0.25">
      <c r="F1522" s="35">
        <v>1516</v>
      </c>
      <c r="L1522" s="33" t="str">
        <f t="shared" si="168"/>
        <v/>
      </c>
      <c r="M1522" t="str">
        <f t="shared" si="169"/>
        <v/>
      </c>
      <c r="N1522" s="33" t="str">
        <f t="shared" si="170"/>
        <v/>
      </c>
      <c r="O1522" s="33" t="str">
        <f t="shared" si="171"/>
        <v/>
      </c>
      <c r="P1522" t="str">
        <f t="shared" si="172"/>
        <v/>
      </c>
      <c r="Q1522" s="33" t="str">
        <f t="shared" si="173"/>
        <v/>
      </c>
      <c r="R1522" s="39" t="str">
        <f t="shared" si="174"/>
        <v/>
      </c>
    </row>
    <row r="1523" spans="6:18" x14ac:dyDescent="0.25">
      <c r="F1523" s="35">
        <v>1517</v>
      </c>
      <c r="L1523" s="33" t="str">
        <f t="shared" si="168"/>
        <v/>
      </c>
      <c r="M1523" t="str">
        <f t="shared" si="169"/>
        <v/>
      </c>
      <c r="N1523" s="33" t="str">
        <f t="shared" si="170"/>
        <v/>
      </c>
      <c r="O1523" s="33" t="str">
        <f t="shared" si="171"/>
        <v/>
      </c>
      <c r="P1523" t="str">
        <f t="shared" si="172"/>
        <v/>
      </c>
      <c r="Q1523" s="33" t="str">
        <f t="shared" si="173"/>
        <v/>
      </c>
      <c r="R1523" s="39" t="str">
        <f t="shared" si="174"/>
        <v/>
      </c>
    </row>
    <row r="1524" spans="6:18" x14ac:dyDescent="0.25">
      <c r="F1524" s="35">
        <v>1518</v>
      </c>
      <c r="L1524" s="33" t="str">
        <f t="shared" si="168"/>
        <v/>
      </c>
      <c r="M1524" t="str">
        <f t="shared" si="169"/>
        <v/>
      </c>
      <c r="N1524" s="33" t="str">
        <f t="shared" si="170"/>
        <v/>
      </c>
      <c r="O1524" s="33" t="str">
        <f t="shared" si="171"/>
        <v/>
      </c>
      <c r="P1524" t="str">
        <f t="shared" si="172"/>
        <v/>
      </c>
      <c r="Q1524" s="33" t="str">
        <f t="shared" si="173"/>
        <v/>
      </c>
      <c r="R1524" s="39" t="str">
        <f t="shared" si="174"/>
        <v/>
      </c>
    </row>
    <row r="1525" spans="6:18" x14ac:dyDescent="0.25">
      <c r="F1525" s="35">
        <v>1519</v>
      </c>
      <c r="L1525" s="33" t="str">
        <f t="shared" si="168"/>
        <v/>
      </c>
      <c r="M1525" t="str">
        <f t="shared" si="169"/>
        <v/>
      </c>
      <c r="N1525" s="33" t="str">
        <f t="shared" si="170"/>
        <v/>
      </c>
      <c r="O1525" s="33" t="str">
        <f t="shared" si="171"/>
        <v/>
      </c>
      <c r="P1525" t="str">
        <f t="shared" si="172"/>
        <v/>
      </c>
      <c r="Q1525" s="33" t="str">
        <f t="shared" si="173"/>
        <v/>
      </c>
      <c r="R1525" s="39" t="str">
        <f t="shared" si="174"/>
        <v/>
      </c>
    </row>
    <row r="1526" spans="6:18" x14ac:dyDescent="0.25">
      <c r="F1526" s="35">
        <v>1520</v>
      </c>
      <c r="L1526" s="33" t="str">
        <f t="shared" si="168"/>
        <v/>
      </c>
      <c r="M1526" t="str">
        <f t="shared" si="169"/>
        <v/>
      </c>
      <c r="N1526" s="33" t="str">
        <f t="shared" si="170"/>
        <v/>
      </c>
      <c r="O1526" s="33" t="str">
        <f t="shared" si="171"/>
        <v/>
      </c>
      <c r="P1526" t="str">
        <f t="shared" si="172"/>
        <v/>
      </c>
      <c r="Q1526" s="33" t="str">
        <f t="shared" si="173"/>
        <v/>
      </c>
      <c r="R1526" s="39" t="str">
        <f t="shared" si="174"/>
        <v/>
      </c>
    </row>
    <row r="1527" spans="6:18" x14ac:dyDescent="0.25">
      <c r="F1527" s="35">
        <v>1521</v>
      </c>
      <c r="L1527" s="33" t="str">
        <f t="shared" si="168"/>
        <v/>
      </c>
      <c r="M1527" t="str">
        <f t="shared" si="169"/>
        <v/>
      </c>
      <c r="N1527" s="33" t="str">
        <f t="shared" si="170"/>
        <v/>
      </c>
      <c r="O1527" s="33" t="str">
        <f t="shared" si="171"/>
        <v/>
      </c>
      <c r="P1527" t="str">
        <f t="shared" si="172"/>
        <v/>
      </c>
      <c r="Q1527" s="33" t="str">
        <f t="shared" si="173"/>
        <v/>
      </c>
      <c r="R1527" s="39" t="str">
        <f t="shared" si="174"/>
        <v/>
      </c>
    </row>
    <row r="1528" spans="6:18" x14ac:dyDescent="0.25">
      <c r="F1528" s="35">
        <v>1522</v>
      </c>
      <c r="L1528" s="33" t="str">
        <f t="shared" si="168"/>
        <v/>
      </c>
      <c r="M1528" t="str">
        <f t="shared" si="169"/>
        <v/>
      </c>
      <c r="N1528" s="33" t="str">
        <f t="shared" si="170"/>
        <v/>
      </c>
      <c r="O1528" s="33" t="str">
        <f t="shared" si="171"/>
        <v/>
      </c>
      <c r="P1528" t="str">
        <f t="shared" si="172"/>
        <v/>
      </c>
      <c r="Q1528" s="33" t="str">
        <f t="shared" si="173"/>
        <v/>
      </c>
      <c r="R1528" s="39" t="str">
        <f t="shared" si="174"/>
        <v/>
      </c>
    </row>
    <row r="1529" spans="6:18" x14ac:dyDescent="0.25">
      <c r="F1529" s="35">
        <v>1523</v>
      </c>
      <c r="L1529" s="33" t="str">
        <f t="shared" si="168"/>
        <v/>
      </c>
      <c r="M1529" t="str">
        <f t="shared" si="169"/>
        <v/>
      </c>
      <c r="N1529" s="33" t="str">
        <f t="shared" si="170"/>
        <v/>
      </c>
      <c r="O1529" s="33" t="str">
        <f t="shared" si="171"/>
        <v/>
      </c>
      <c r="P1529" t="str">
        <f t="shared" si="172"/>
        <v/>
      </c>
      <c r="Q1529" s="33" t="str">
        <f t="shared" si="173"/>
        <v/>
      </c>
      <c r="R1529" s="39" t="str">
        <f t="shared" si="174"/>
        <v/>
      </c>
    </row>
    <row r="1530" spans="6:18" x14ac:dyDescent="0.25">
      <c r="F1530" s="35">
        <v>1524</v>
      </c>
      <c r="L1530" s="33" t="str">
        <f t="shared" si="168"/>
        <v/>
      </c>
      <c r="M1530" t="str">
        <f t="shared" si="169"/>
        <v/>
      </c>
      <c r="N1530" s="33" t="str">
        <f t="shared" si="170"/>
        <v/>
      </c>
      <c r="O1530" s="33" t="str">
        <f t="shared" si="171"/>
        <v/>
      </c>
      <c r="P1530" t="str">
        <f t="shared" si="172"/>
        <v/>
      </c>
      <c r="Q1530" s="33" t="str">
        <f t="shared" si="173"/>
        <v/>
      </c>
      <c r="R1530" s="39" t="str">
        <f t="shared" si="174"/>
        <v/>
      </c>
    </row>
    <row r="1531" spans="6:18" x14ac:dyDescent="0.25">
      <c r="F1531" s="35">
        <v>1525</v>
      </c>
      <c r="L1531" s="33" t="str">
        <f t="shared" si="168"/>
        <v/>
      </c>
      <c r="M1531" t="str">
        <f t="shared" si="169"/>
        <v/>
      </c>
      <c r="N1531" s="33" t="str">
        <f t="shared" si="170"/>
        <v/>
      </c>
      <c r="O1531" s="33" t="str">
        <f t="shared" si="171"/>
        <v/>
      </c>
      <c r="P1531" t="str">
        <f t="shared" si="172"/>
        <v/>
      </c>
      <c r="Q1531" s="33" t="str">
        <f t="shared" si="173"/>
        <v/>
      </c>
      <c r="R1531" s="39" t="str">
        <f t="shared" si="174"/>
        <v/>
      </c>
    </row>
    <row r="1532" spans="6:18" x14ac:dyDescent="0.25">
      <c r="F1532" s="35">
        <v>1526</v>
      </c>
      <c r="L1532" s="33" t="str">
        <f t="shared" si="168"/>
        <v/>
      </c>
      <c r="M1532" t="str">
        <f t="shared" si="169"/>
        <v/>
      </c>
      <c r="N1532" s="33" t="str">
        <f t="shared" si="170"/>
        <v/>
      </c>
      <c r="O1532" s="33" t="str">
        <f t="shared" si="171"/>
        <v/>
      </c>
      <c r="P1532" t="str">
        <f t="shared" si="172"/>
        <v/>
      </c>
      <c r="Q1532" s="33" t="str">
        <f t="shared" si="173"/>
        <v/>
      </c>
      <c r="R1532" s="39" t="str">
        <f t="shared" si="174"/>
        <v/>
      </c>
    </row>
    <row r="1533" spans="6:18" x14ac:dyDescent="0.25">
      <c r="F1533" s="35">
        <v>1527</v>
      </c>
      <c r="L1533" s="33" t="str">
        <f t="shared" si="168"/>
        <v/>
      </c>
      <c r="M1533" t="str">
        <f t="shared" si="169"/>
        <v/>
      </c>
      <c r="N1533" s="33" t="str">
        <f t="shared" si="170"/>
        <v/>
      </c>
      <c r="O1533" s="33" t="str">
        <f t="shared" si="171"/>
        <v/>
      </c>
      <c r="P1533" t="str">
        <f t="shared" si="172"/>
        <v/>
      </c>
      <c r="Q1533" s="33" t="str">
        <f t="shared" si="173"/>
        <v/>
      </c>
      <c r="R1533" s="39" t="str">
        <f t="shared" si="174"/>
        <v/>
      </c>
    </row>
    <row r="1534" spans="6:18" x14ac:dyDescent="0.25">
      <c r="F1534" s="35">
        <v>1528</v>
      </c>
      <c r="L1534" s="33" t="str">
        <f t="shared" si="168"/>
        <v/>
      </c>
      <c r="M1534" t="str">
        <f t="shared" si="169"/>
        <v/>
      </c>
      <c r="N1534" s="33" t="str">
        <f t="shared" si="170"/>
        <v/>
      </c>
      <c r="O1534" s="33" t="str">
        <f t="shared" si="171"/>
        <v/>
      </c>
      <c r="P1534" t="str">
        <f t="shared" si="172"/>
        <v/>
      </c>
      <c r="Q1534" s="33" t="str">
        <f t="shared" si="173"/>
        <v/>
      </c>
      <c r="R1534" s="39" t="str">
        <f t="shared" si="174"/>
        <v/>
      </c>
    </row>
    <row r="1535" spans="6:18" x14ac:dyDescent="0.25">
      <c r="F1535" s="35">
        <v>1529</v>
      </c>
      <c r="L1535" s="33" t="str">
        <f t="shared" si="168"/>
        <v/>
      </c>
      <c r="M1535" t="str">
        <f t="shared" si="169"/>
        <v/>
      </c>
      <c r="N1535" s="33" t="str">
        <f t="shared" si="170"/>
        <v/>
      </c>
      <c r="O1535" s="33" t="str">
        <f t="shared" si="171"/>
        <v/>
      </c>
      <c r="P1535" t="str">
        <f t="shared" si="172"/>
        <v/>
      </c>
      <c r="Q1535" s="33" t="str">
        <f t="shared" si="173"/>
        <v/>
      </c>
      <c r="R1535" s="39" t="str">
        <f t="shared" si="174"/>
        <v/>
      </c>
    </row>
    <row r="1536" spans="6:18" x14ac:dyDescent="0.25">
      <c r="F1536" s="35">
        <v>1530</v>
      </c>
      <c r="L1536" s="33" t="str">
        <f t="shared" si="168"/>
        <v/>
      </c>
      <c r="M1536" t="str">
        <f t="shared" si="169"/>
        <v/>
      </c>
      <c r="N1536" s="33" t="str">
        <f t="shared" si="170"/>
        <v/>
      </c>
      <c r="O1536" s="33" t="str">
        <f t="shared" si="171"/>
        <v/>
      </c>
      <c r="P1536" t="str">
        <f t="shared" si="172"/>
        <v/>
      </c>
      <c r="Q1536" s="33" t="str">
        <f t="shared" si="173"/>
        <v/>
      </c>
      <c r="R1536" s="39" t="str">
        <f t="shared" si="174"/>
        <v/>
      </c>
    </row>
    <row r="1537" spans="6:18" x14ac:dyDescent="0.25">
      <c r="F1537" s="35">
        <v>1531</v>
      </c>
      <c r="L1537" s="33" t="str">
        <f t="shared" si="168"/>
        <v/>
      </c>
      <c r="M1537" t="str">
        <f t="shared" si="169"/>
        <v/>
      </c>
      <c r="N1537" s="33" t="str">
        <f t="shared" si="170"/>
        <v/>
      </c>
      <c r="O1537" s="33" t="str">
        <f t="shared" si="171"/>
        <v/>
      </c>
      <c r="P1537" t="str">
        <f t="shared" si="172"/>
        <v/>
      </c>
      <c r="Q1537" s="33" t="str">
        <f t="shared" si="173"/>
        <v/>
      </c>
      <c r="R1537" s="39" t="str">
        <f t="shared" si="174"/>
        <v/>
      </c>
    </row>
    <row r="1538" spans="6:18" x14ac:dyDescent="0.25">
      <c r="F1538" s="35">
        <v>1532</v>
      </c>
      <c r="L1538" s="33" t="str">
        <f t="shared" si="168"/>
        <v/>
      </c>
      <c r="M1538" t="str">
        <f t="shared" si="169"/>
        <v/>
      </c>
      <c r="N1538" s="33" t="str">
        <f t="shared" si="170"/>
        <v/>
      </c>
      <c r="O1538" s="33" t="str">
        <f t="shared" si="171"/>
        <v/>
      </c>
      <c r="P1538" t="str">
        <f t="shared" si="172"/>
        <v/>
      </c>
      <c r="Q1538" s="33" t="str">
        <f t="shared" si="173"/>
        <v/>
      </c>
      <c r="R1538" s="39" t="str">
        <f t="shared" si="174"/>
        <v/>
      </c>
    </row>
    <row r="1539" spans="6:18" x14ac:dyDescent="0.25">
      <c r="F1539" s="35">
        <v>1533</v>
      </c>
      <c r="L1539" s="33" t="str">
        <f t="shared" si="168"/>
        <v/>
      </c>
      <c r="M1539" t="str">
        <f t="shared" si="169"/>
        <v/>
      </c>
      <c r="N1539" s="33" t="str">
        <f t="shared" si="170"/>
        <v/>
      </c>
      <c r="O1539" s="33" t="str">
        <f t="shared" si="171"/>
        <v/>
      </c>
      <c r="P1539" t="str">
        <f t="shared" si="172"/>
        <v/>
      </c>
      <c r="Q1539" s="33" t="str">
        <f t="shared" si="173"/>
        <v/>
      </c>
      <c r="R1539" s="39" t="str">
        <f t="shared" si="174"/>
        <v/>
      </c>
    </row>
    <row r="1540" spans="6:18" x14ac:dyDescent="0.25">
      <c r="F1540" s="35">
        <v>1534</v>
      </c>
      <c r="L1540" s="33" t="str">
        <f t="shared" si="168"/>
        <v/>
      </c>
      <c r="M1540" t="str">
        <f t="shared" si="169"/>
        <v/>
      </c>
      <c r="N1540" s="33" t="str">
        <f t="shared" si="170"/>
        <v/>
      </c>
      <c r="O1540" s="33" t="str">
        <f t="shared" si="171"/>
        <v/>
      </c>
      <c r="P1540" t="str">
        <f t="shared" si="172"/>
        <v/>
      </c>
      <c r="Q1540" s="33" t="str">
        <f t="shared" si="173"/>
        <v/>
      </c>
      <c r="R1540" s="39" t="str">
        <f t="shared" si="174"/>
        <v/>
      </c>
    </row>
    <row r="1541" spans="6:18" x14ac:dyDescent="0.25">
      <c r="F1541" s="35">
        <v>1535</v>
      </c>
      <c r="L1541" s="33" t="str">
        <f t="shared" si="168"/>
        <v/>
      </c>
      <c r="M1541" t="str">
        <f t="shared" si="169"/>
        <v/>
      </c>
      <c r="N1541" s="33" t="str">
        <f t="shared" si="170"/>
        <v/>
      </c>
      <c r="O1541" s="33" t="str">
        <f t="shared" si="171"/>
        <v/>
      </c>
      <c r="P1541" t="str">
        <f t="shared" si="172"/>
        <v/>
      </c>
      <c r="Q1541" s="33" t="str">
        <f t="shared" si="173"/>
        <v/>
      </c>
      <c r="R1541" s="39" t="str">
        <f t="shared" si="174"/>
        <v/>
      </c>
    </row>
    <row r="1542" spans="6:18" x14ac:dyDescent="0.25">
      <c r="F1542" s="35">
        <v>1536</v>
      </c>
      <c r="L1542" s="33" t="str">
        <f t="shared" si="168"/>
        <v/>
      </c>
      <c r="M1542" t="str">
        <f t="shared" si="169"/>
        <v/>
      </c>
      <c r="N1542" s="33" t="str">
        <f t="shared" si="170"/>
        <v/>
      </c>
      <c r="O1542" s="33" t="str">
        <f t="shared" si="171"/>
        <v/>
      </c>
      <c r="P1542" t="str">
        <f t="shared" si="172"/>
        <v/>
      </c>
      <c r="Q1542" s="33" t="str">
        <f t="shared" si="173"/>
        <v/>
      </c>
      <c r="R1542" s="39" t="str">
        <f t="shared" si="174"/>
        <v/>
      </c>
    </row>
    <row r="1543" spans="6:18" x14ac:dyDescent="0.25">
      <c r="F1543" s="35">
        <v>1537</v>
      </c>
      <c r="L1543" s="33" t="str">
        <f t="shared" si="168"/>
        <v/>
      </c>
      <c r="M1543" t="str">
        <f t="shared" si="169"/>
        <v/>
      </c>
      <c r="N1543" s="33" t="str">
        <f t="shared" si="170"/>
        <v/>
      </c>
      <c r="O1543" s="33" t="str">
        <f t="shared" si="171"/>
        <v/>
      </c>
      <c r="P1543" t="str">
        <f t="shared" si="172"/>
        <v/>
      </c>
      <c r="Q1543" s="33" t="str">
        <f t="shared" si="173"/>
        <v/>
      </c>
      <c r="R1543" s="39" t="str">
        <f t="shared" si="174"/>
        <v/>
      </c>
    </row>
    <row r="1544" spans="6:18" x14ac:dyDescent="0.25">
      <c r="F1544" s="35">
        <v>1538</v>
      </c>
      <c r="L1544" s="33" t="str">
        <f t="shared" ref="L1544:L1607" si="175">IF(G1544="","",$C$4*$C$6*$C$7/360)</f>
        <v/>
      </c>
      <c r="M1544" t="str">
        <f t="shared" ref="M1544:M1607" si="176">IF(G1544="","",IF(H1544=$G$2,100,0))</f>
        <v/>
      </c>
      <c r="N1544" s="33" t="str">
        <f t="shared" ref="N1544:N1607" si="177">IF(G1544="","",L1544+M1544)</f>
        <v/>
      </c>
      <c r="O1544" s="33" t="str">
        <f t="shared" ref="O1544:O1607" si="178">IF(G1544="","",1/(1+$C$5*K1544/360)^(J1544/K1544))</f>
        <v/>
      </c>
      <c r="P1544" t="str">
        <f t="shared" ref="P1544:P1607" si="179">IF(G1544="","",H1544-$C$12)</f>
        <v/>
      </c>
      <c r="Q1544" s="33" t="str">
        <f t="shared" ref="Q1544:Q1607" si="180">IF(G1544="","",(P1544/K1544))</f>
        <v/>
      </c>
      <c r="R1544" s="39" t="str">
        <f t="shared" ref="R1544:R1607" si="181">IF(G1544="","",N1544*O1544)</f>
        <v/>
      </c>
    </row>
    <row r="1545" spans="6:18" x14ac:dyDescent="0.25">
      <c r="F1545" s="35">
        <v>1539</v>
      </c>
      <c r="L1545" s="33" t="str">
        <f t="shared" si="175"/>
        <v/>
      </c>
      <c r="M1545" t="str">
        <f t="shared" si="176"/>
        <v/>
      </c>
      <c r="N1545" s="33" t="str">
        <f t="shared" si="177"/>
        <v/>
      </c>
      <c r="O1545" s="33" t="str">
        <f t="shared" si="178"/>
        <v/>
      </c>
      <c r="P1545" t="str">
        <f t="shared" si="179"/>
        <v/>
      </c>
      <c r="Q1545" s="33" t="str">
        <f t="shared" si="180"/>
        <v/>
      </c>
      <c r="R1545" s="39" t="str">
        <f t="shared" si="181"/>
        <v/>
      </c>
    </row>
    <row r="1546" spans="6:18" x14ac:dyDescent="0.25">
      <c r="F1546" s="35">
        <v>1540</v>
      </c>
      <c r="L1546" s="33" t="str">
        <f t="shared" si="175"/>
        <v/>
      </c>
      <c r="M1546" t="str">
        <f t="shared" si="176"/>
        <v/>
      </c>
      <c r="N1546" s="33" t="str">
        <f t="shared" si="177"/>
        <v/>
      </c>
      <c r="O1546" s="33" t="str">
        <f t="shared" si="178"/>
        <v/>
      </c>
      <c r="P1546" t="str">
        <f t="shared" si="179"/>
        <v/>
      </c>
      <c r="Q1546" s="33" t="str">
        <f t="shared" si="180"/>
        <v/>
      </c>
      <c r="R1546" s="39" t="str">
        <f t="shared" si="181"/>
        <v/>
      </c>
    </row>
    <row r="1547" spans="6:18" x14ac:dyDescent="0.25">
      <c r="F1547" s="35">
        <v>1541</v>
      </c>
      <c r="L1547" s="33" t="str">
        <f t="shared" si="175"/>
        <v/>
      </c>
      <c r="M1547" t="str">
        <f t="shared" si="176"/>
        <v/>
      </c>
      <c r="N1547" s="33" t="str">
        <f t="shared" si="177"/>
        <v/>
      </c>
      <c r="O1547" s="33" t="str">
        <f t="shared" si="178"/>
        <v/>
      </c>
      <c r="P1547" t="str">
        <f t="shared" si="179"/>
        <v/>
      </c>
      <c r="Q1547" s="33" t="str">
        <f t="shared" si="180"/>
        <v/>
      </c>
      <c r="R1547" s="39" t="str">
        <f t="shared" si="181"/>
        <v/>
      </c>
    </row>
    <row r="1548" spans="6:18" x14ac:dyDescent="0.25">
      <c r="F1548" s="35">
        <v>1542</v>
      </c>
      <c r="L1548" s="33" t="str">
        <f t="shared" si="175"/>
        <v/>
      </c>
      <c r="M1548" t="str">
        <f t="shared" si="176"/>
        <v/>
      </c>
      <c r="N1548" s="33" t="str">
        <f t="shared" si="177"/>
        <v/>
      </c>
      <c r="O1548" s="33" t="str">
        <f t="shared" si="178"/>
        <v/>
      </c>
      <c r="P1548" t="str">
        <f t="shared" si="179"/>
        <v/>
      </c>
      <c r="Q1548" s="33" t="str">
        <f t="shared" si="180"/>
        <v/>
      </c>
      <c r="R1548" s="39" t="str">
        <f t="shared" si="181"/>
        <v/>
      </c>
    </row>
    <row r="1549" spans="6:18" x14ac:dyDescent="0.25">
      <c r="F1549" s="35">
        <v>1543</v>
      </c>
      <c r="L1549" s="33" t="str">
        <f t="shared" si="175"/>
        <v/>
      </c>
      <c r="M1549" t="str">
        <f t="shared" si="176"/>
        <v/>
      </c>
      <c r="N1549" s="33" t="str">
        <f t="shared" si="177"/>
        <v/>
      </c>
      <c r="O1549" s="33" t="str">
        <f t="shared" si="178"/>
        <v/>
      </c>
      <c r="P1549" t="str">
        <f t="shared" si="179"/>
        <v/>
      </c>
      <c r="Q1549" s="33" t="str">
        <f t="shared" si="180"/>
        <v/>
      </c>
      <c r="R1549" s="39" t="str">
        <f t="shared" si="181"/>
        <v/>
      </c>
    </row>
    <row r="1550" spans="6:18" x14ac:dyDescent="0.25">
      <c r="F1550" s="35">
        <v>1544</v>
      </c>
      <c r="L1550" s="33" t="str">
        <f t="shared" si="175"/>
        <v/>
      </c>
      <c r="M1550" t="str">
        <f t="shared" si="176"/>
        <v/>
      </c>
      <c r="N1550" s="33" t="str">
        <f t="shared" si="177"/>
        <v/>
      </c>
      <c r="O1550" s="33" t="str">
        <f t="shared" si="178"/>
        <v/>
      </c>
      <c r="P1550" t="str">
        <f t="shared" si="179"/>
        <v/>
      </c>
      <c r="Q1550" s="33" t="str">
        <f t="shared" si="180"/>
        <v/>
      </c>
      <c r="R1550" s="39" t="str">
        <f t="shared" si="181"/>
        <v/>
      </c>
    </row>
    <row r="1551" spans="6:18" x14ac:dyDescent="0.25">
      <c r="F1551" s="35">
        <v>1545</v>
      </c>
      <c r="L1551" s="33" t="str">
        <f t="shared" si="175"/>
        <v/>
      </c>
      <c r="M1551" t="str">
        <f t="shared" si="176"/>
        <v/>
      </c>
      <c r="N1551" s="33" t="str">
        <f t="shared" si="177"/>
        <v/>
      </c>
      <c r="O1551" s="33" t="str">
        <f t="shared" si="178"/>
        <v/>
      </c>
      <c r="P1551" t="str">
        <f t="shared" si="179"/>
        <v/>
      </c>
      <c r="Q1551" s="33" t="str">
        <f t="shared" si="180"/>
        <v/>
      </c>
      <c r="R1551" s="39" t="str">
        <f t="shared" si="181"/>
        <v/>
      </c>
    </row>
    <row r="1552" spans="6:18" x14ac:dyDescent="0.25">
      <c r="F1552" s="35">
        <v>1546</v>
      </c>
      <c r="L1552" s="33" t="str">
        <f t="shared" si="175"/>
        <v/>
      </c>
      <c r="M1552" t="str">
        <f t="shared" si="176"/>
        <v/>
      </c>
      <c r="N1552" s="33" t="str">
        <f t="shared" si="177"/>
        <v/>
      </c>
      <c r="O1552" s="33" t="str">
        <f t="shared" si="178"/>
        <v/>
      </c>
      <c r="P1552" t="str">
        <f t="shared" si="179"/>
        <v/>
      </c>
      <c r="Q1552" s="33" t="str">
        <f t="shared" si="180"/>
        <v/>
      </c>
      <c r="R1552" s="39" t="str">
        <f t="shared" si="181"/>
        <v/>
      </c>
    </row>
    <row r="1553" spans="6:18" x14ac:dyDescent="0.25">
      <c r="F1553" s="35">
        <v>1547</v>
      </c>
      <c r="L1553" s="33" t="str">
        <f t="shared" si="175"/>
        <v/>
      </c>
      <c r="M1553" t="str">
        <f t="shared" si="176"/>
        <v/>
      </c>
      <c r="N1553" s="33" t="str">
        <f t="shared" si="177"/>
        <v/>
      </c>
      <c r="O1553" s="33" t="str">
        <f t="shared" si="178"/>
        <v/>
      </c>
      <c r="P1553" t="str">
        <f t="shared" si="179"/>
        <v/>
      </c>
      <c r="Q1553" s="33" t="str">
        <f t="shared" si="180"/>
        <v/>
      </c>
      <c r="R1553" s="39" t="str">
        <f t="shared" si="181"/>
        <v/>
      </c>
    </row>
    <row r="1554" spans="6:18" x14ac:dyDescent="0.25">
      <c r="F1554" s="35">
        <v>1548</v>
      </c>
      <c r="L1554" s="33" t="str">
        <f t="shared" si="175"/>
        <v/>
      </c>
      <c r="M1554" t="str">
        <f t="shared" si="176"/>
        <v/>
      </c>
      <c r="N1554" s="33" t="str">
        <f t="shared" si="177"/>
        <v/>
      </c>
      <c r="O1554" s="33" t="str">
        <f t="shared" si="178"/>
        <v/>
      </c>
      <c r="P1554" t="str">
        <f t="shared" si="179"/>
        <v/>
      </c>
      <c r="Q1554" s="33" t="str">
        <f t="shared" si="180"/>
        <v/>
      </c>
      <c r="R1554" s="39" t="str">
        <f t="shared" si="181"/>
        <v/>
      </c>
    </row>
    <row r="1555" spans="6:18" x14ac:dyDescent="0.25">
      <c r="F1555" s="35">
        <v>1549</v>
      </c>
      <c r="L1555" s="33" t="str">
        <f t="shared" si="175"/>
        <v/>
      </c>
      <c r="M1555" t="str">
        <f t="shared" si="176"/>
        <v/>
      </c>
      <c r="N1555" s="33" t="str">
        <f t="shared" si="177"/>
        <v/>
      </c>
      <c r="O1555" s="33" t="str">
        <f t="shared" si="178"/>
        <v/>
      </c>
      <c r="P1555" t="str">
        <f t="shared" si="179"/>
        <v/>
      </c>
      <c r="Q1555" s="33" t="str">
        <f t="shared" si="180"/>
        <v/>
      </c>
      <c r="R1555" s="39" t="str">
        <f t="shared" si="181"/>
        <v/>
      </c>
    </row>
    <row r="1556" spans="6:18" x14ac:dyDescent="0.25">
      <c r="F1556" s="35">
        <v>1550</v>
      </c>
      <c r="L1556" s="33" t="str">
        <f t="shared" si="175"/>
        <v/>
      </c>
      <c r="M1556" t="str">
        <f t="shared" si="176"/>
        <v/>
      </c>
      <c r="N1556" s="33" t="str">
        <f t="shared" si="177"/>
        <v/>
      </c>
      <c r="O1556" s="33" t="str">
        <f t="shared" si="178"/>
        <v/>
      </c>
      <c r="P1556" t="str">
        <f t="shared" si="179"/>
        <v/>
      </c>
      <c r="Q1556" s="33" t="str">
        <f t="shared" si="180"/>
        <v/>
      </c>
      <c r="R1556" s="39" t="str">
        <f t="shared" si="181"/>
        <v/>
      </c>
    </row>
    <row r="1557" spans="6:18" x14ac:dyDescent="0.25">
      <c r="F1557" s="35">
        <v>1551</v>
      </c>
      <c r="L1557" s="33" t="str">
        <f t="shared" si="175"/>
        <v/>
      </c>
      <c r="M1557" t="str">
        <f t="shared" si="176"/>
        <v/>
      </c>
      <c r="N1557" s="33" t="str">
        <f t="shared" si="177"/>
        <v/>
      </c>
      <c r="O1557" s="33" t="str">
        <f t="shared" si="178"/>
        <v/>
      </c>
      <c r="P1557" t="str">
        <f t="shared" si="179"/>
        <v/>
      </c>
      <c r="Q1557" s="33" t="str">
        <f t="shared" si="180"/>
        <v/>
      </c>
      <c r="R1557" s="39" t="str">
        <f t="shared" si="181"/>
        <v/>
      </c>
    </row>
    <row r="1558" spans="6:18" x14ac:dyDescent="0.25">
      <c r="F1558" s="35">
        <v>1552</v>
      </c>
      <c r="L1558" s="33" t="str">
        <f t="shared" si="175"/>
        <v/>
      </c>
      <c r="M1558" t="str">
        <f t="shared" si="176"/>
        <v/>
      </c>
      <c r="N1558" s="33" t="str">
        <f t="shared" si="177"/>
        <v/>
      </c>
      <c r="O1558" s="33" t="str">
        <f t="shared" si="178"/>
        <v/>
      </c>
      <c r="P1558" t="str">
        <f t="shared" si="179"/>
        <v/>
      </c>
      <c r="Q1558" s="33" t="str">
        <f t="shared" si="180"/>
        <v/>
      </c>
      <c r="R1558" s="39" t="str">
        <f t="shared" si="181"/>
        <v/>
      </c>
    </row>
    <row r="1559" spans="6:18" x14ac:dyDescent="0.25">
      <c r="F1559" s="35">
        <v>1553</v>
      </c>
      <c r="L1559" s="33" t="str">
        <f t="shared" si="175"/>
        <v/>
      </c>
      <c r="M1559" t="str">
        <f t="shared" si="176"/>
        <v/>
      </c>
      <c r="N1559" s="33" t="str">
        <f t="shared" si="177"/>
        <v/>
      </c>
      <c r="O1559" s="33" t="str">
        <f t="shared" si="178"/>
        <v/>
      </c>
      <c r="P1559" t="str">
        <f t="shared" si="179"/>
        <v/>
      </c>
      <c r="Q1559" s="33" t="str">
        <f t="shared" si="180"/>
        <v/>
      </c>
      <c r="R1559" s="39" t="str">
        <f t="shared" si="181"/>
        <v/>
      </c>
    </row>
    <row r="1560" spans="6:18" x14ac:dyDescent="0.25">
      <c r="F1560" s="35">
        <v>1554</v>
      </c>
      <c r="L1560" s="33" t="str">
        <f t="shared" si="175"/>
        <v/>
      </c>
      <c r="M1560" t="str">
        <f t="shared" si="176"/>
        <v/>
      </c>
      <c r="N1560" s="33" t="str">
        <f t="shared" si="177"/>
        <v/>
      </c>
      <c r="O1560" s="33" t="str">
        <f t="shared" si="178"/>
        <v/>
      </c>
      <c r="P1560" t="str">
        <f t="shared" si="179"/>
        <v/>
      </c>
      <c r="Q1560" s="33" t="str">
        <f t="shared" si="180"/>
        <v/>
      </c>
      <c r="R1560" s="39" t="str">
        <f t="shared" si="181"/>
        <v/>
      </c>
    </row>
    <row r="1561" spans="6:18" x14ac:dyDescent="0.25">
      <c r="F1561" s="35">
        <v>1555</v>
      </c>
      <c r="L1561" s="33" t="str">
        <f t="shared" si="175"/>
        <v/>
      </c>
      <c r="M1561" t="str">
        <f t="shared" si="176"/>
        <v/>
      </c>
      <c r="N1561" s="33" t="str">
        <f t="shared" si="177"/>
        <v/>
      </c>
      <c r="O1561" s="33" t="str">
        <f t="shared" si="178"/>
        <v/>
      </c>
      <c r="P1561" t="str">
        <f t="shared" si="179"/>
        <v/>
      </c>
      <c r="Q1561" s="33" t="str">
        <f t="shared" si="180"/>
        <v/>
      </c>
      <c r="R1561" s="39" t="str">
        <f t="shared" si="181"/>
        <v/>
      </c>
    </row>
    <row r="1562" spans="6:18" x14ac:dyDescent="0.25">
      <c r="F1562" s="35">
        <v>1556</v>
      </c>
      <c r="L1562" s="33" t="str">
        <f t="shared" si="175"/>
        <v/>
      </c>
      <c r="M1562" t="str">
        <f t="shared" si="176"/>
        <v/>
      </c>
      <c r="N1562" s="33" t="str">
        <f t="shared" si="177"/>
        <v/>
      </c>
      <c r="O1562" s="33" t="str">
        <f t="shared" si="178"/>
        <v/>
      </c>
      <c r="P1562" t="str">
        <f t="shared" si="179"/>
        <v/>
      </c>
      <c r="Q1562" s="33" t="str">
        <f t="shared" si="180"/>
        <v/>
      </c>
      <c r="R1562" s="39" t="str">
        <f t="shared" si="181"/>
        <v/>
      </c>
    </row>
    <row r="1563" spans="6:18" x14ac:dyDescent="0.25">
      <c r="F1563" s="35">
        <v>1557</v>
      </c>
      <c r="L1563" s="33" t="str">
        <f t="shared" si="175"/>
        <v/>
      </c>
      <c r="M1563" t="str">
        <f t="shared" si="176"/>
        <v/>
      </c>
      <c r="N1563" s="33" t="str">
        <f t="shared" si="177"/>
        <v/>
      </c>
      <c r="O1563" s="33" t="str">
        <f t="shared" si="178"/>
        <v/>
      </c>
      <c r="P1563" t="str">
        <f t="shared" si="179"/>
        <v/>
      </c>
      <c r="Q1563" s="33" t="str">
        <f t="shared" si="180"/>
        <v/>
      </c>
      <c r="R1563" s="39" t="str">
        <f t="shared" si="181"/>
        <v/>
      </c>
    </row>
    <row r="1564" spans="6:18" x14ac:dyDescent="0.25">
      <c r="F1564" s="35">
        <v>1558</v>
      </c>
      <c r="L1564" s="33" t="str">
        <f t="shared" si="175"/>
        <v/>
      </c>
      <c r="M1564" t="str">
        <f t="shared" si="176"/>
        <v/>
      </c>
      <c r="N1564" s="33" t="str">
        <f t="shared" si="177"/>
        <v/>
      </c>
      <c r="O1564" s="33" t="str">
        <f t="shared" si="178"/>
        <v/>
      </c>
      <c r="P1564" t="str">
        <f t="shared" si="179"/>
        <v/>
      </c>
      <c r="Q1564" s="33" t="str">
        <f t="shared" si="180"/>
        <v/>
      </c>
      <c r="R1564" s="39" t="str">
        <f t="shared" si="181"/>
        <v/>
      </c>
    </row>
    <row r="1565" spans="6:18" x14ac:dyDescent="0.25">
      <c r="F1565" s="35">
        <v>1559</v>
      </c>
      <c r="L1565" s="33" t="str">
        <f t="shared" si="175"/>
        <v/>
      </c>
      <c r="M1565" t="str">
        <f t="shared" si="176"/>
        <v/>
      </c>
      <c r="N1565" s="33" t="str">
        <f t="shared" si="177"/>
        <v/>
      </c>
      <c r="O1565" s="33" t="str">
        <f t="shared" si="178"/>
        <v/>
      </c>
      <c r="P1565" t="str">
        <f t="shared" si="179"/>
        <v/>
      </c>
      <c r="Q1565" s="33" t="str">
        <f t="shared" si="180"/>
        <v/>
      </c>
      <c r="R1565" s="39" t="str">
        <f t="shared" si="181"/>
        <v/>
      </c>
    </row>
    <row r="1566" spans="6:18" x14ac:dyDescent="0.25">
      <c r="F1566" s="35">
        <v>1560</v>
      </c>
      <c r="L1566" s="33" t="str">
        <f t="shared" si="175"/>
        <v/>
      </c>
      <c r="M1566" t="str">
        <f t="shared" si="176"/>
        <v/>
      </c>
      <c r="N1566" s="33" t="str">
        <f t="shared" si="177"/>
        <v/>
      </c>
      <c r="O1566" s="33" t="str">
        <f t="shared" si="178"/>
        <v/>
      </c>
      <c r="P1566" t="str">
        <f t="shared" si="179"/>
        <v/>
      </c>
      <c r="Q1566" s="33" t="str">
        <f t="shared" si="180"/>
        <v/>
      </c>
      <c r="R1566" s="39" t="str">
        <f t="shared" si="181"/>
        <v/>
      </c>
    </row>
    <row r="1567" spans="6:18" x14ac:dyDescent="0.25">
      <c r="F1567" s="35">
        <v>1561</v>
      </c>
      <c r="L1567" s="33" t="str">
        <f t="shared" si="175"/>
        <v/>
      </c>
      <c r="M1567" t="str">
        <f t="shared" si="176"/>
        <v/>
      </c>
      <c r="N1567" s="33" t="str">
        <f t="shared" si="177"/>
        <v/>
      </c>
      <c r="O1567" s="33" t="str">
        <f t="shared" si="178"/>
        <v/>
      </c>
      <c r="P1567" t="str">
        <f t="shared" si="179"/>
        <v/>
      </c>
      <c r="Q1567" s="33" t="str">
        <f t="shared" si="180"/>
        <v/>
      </c>
      <c r="R1567" s="39" t="str">
        <f t="shared" si="181"/>
        <v/>
      </c>
    </row>
    <row r="1568" spans="6:18" x14ac:dyDescent="0.25">
      <c r="F1568" s="35">
        <v>1562</v>
      </c>
      <c r="L1568" s="33" t="str">
        <f t="shared" si="175"/>
        <v/>
      </c>
      <c r="M1568" t="str">
        <f t="shared" si="176"/>
        <v/>
      </c>
      <c r="N1568" s="33" t="str">
        <f t="shared" si="177"/>
        <v/>
      </c>
      <c r="O1568" s="33" t="str">
        <f t="shared" si="178"/>
        <v/>
      </c>
      <c r="P1568" t="str">
        <f t="shared" si="179"/>
        <v/>
      </c>
      <c r="Q1568" s="33" t="str">
        <f t="shared" si="180"/>
        <v/>
      </c>
      <c r="R1568" s="39" t="str">
        <f t="shared" si="181"/>
        <v/>
      </c>
    </row>
    <row r="1569" spans="6:18" x14ac:dyDescent="0.25">
      <c r="F1569" s="35">
        <v>1563</v>
      </c>
      <c r="L1569" s="33" t="str">
        <f t="shared" si="175"/>
        <v/>
      </c>
      <c r="M1569" t="str">
        <f t="shared" si="176"/>
        <v/>
      </c>
      <c r="N1569" s="33" t="str">
        <f t="shared" si="177"/>
        <v/>
      </c>
      <c r="O1569" s="33" t="str">
        <f t="shared" si="178"/>
        <v/>
      </c>
      <c r="P1569" t="str">
        <f t="shared" si="179"/>
        <v/>
      </c>
      <c r="Q1569" s="33" t="str">
        <f t="shared" si="180"/>
        <v/>
      </c>
      <c r="R1569" s="39" t="str">
        <f t="shared" si="181"/>
        <v/>
      </c>
    </row>
    <row r="1570" spans="6:18" x14ac:dyDescent="0.25">
      <c r="F1570" s="35">
        <v>1564</v>
      </c>
      <c r="L1570" s="33" t="str">
        <f t="shared" si="175"/>
        <v/>
      </c>
      <c r="M1570" t="str">
        <f t="shared" si="176"/>
        <v/>
      </c>
      <c r="N1570" s="33" t="str">
        <f t="shared" si="177"/>
        <v/>
      </c>
      <c r="O1570" s="33" t="str">
        <f t="shared" si="178"/>
        <v/>
      </c>
      <c r="P1570" t="str">
        <f t="shared" si="179"/>
        <v/>
      </c>
      <c r="Q1570" s="33" t="str">
        <f t="shared" si="180"/>
        <v/>
      </c>
      <c r="R1570" s="39" t="str">
        <f t="shared" si="181"/>
        <v/>
      </c>
    </row>
    <row r="1571" spans="6:18" x14ac:dyDescent="0.25">
      <c r="F1571" s="35">
        <v>1565</v>
      </c>
      <c r="L1571" s="33" t="str">
        <f t="shared" si="175"/>
        <v/>
      </c>
      <c r="M1571" t="str">
        <f t="shared" si="176"/>
        <v/>
      </c>
      <c r="N1571" s="33" t="str">
        <f t="shared" si="177"/>
        <v/>
      </c>
      <c r="O1571" s="33" t="str">
        <f t="shared" si="178"/>
        <v/>
      </c>
      <c r="P1571" t="str">
        <f t="shared" si="179"/>
        <v/>
      </c>
      <c r="Q1571" s="33" t="str">
        <f t="shared" si="180"/>
        <v/>
      </c>
      <c r="R1571" s="39" t="str">
        <f t="shared" si="181"/>
        <v/>
      </c>
    </row>
    <row r="1572" spans="6:18" x14ac:dyDescent="0.25">
      <c r="F1572" s="35">
        <v>1566</v>
      </c>
      <c r="L1572" s="33" t="str">
        <f t="shared" si="175"/>
        <v/>
      </c>
      <c r="M1572" t="str">
        <f t="shared" si="176"/>
        <v/>
      </c>
      <c r="N1572" s="33" t="str">
        <f t="shared" si="177"/>
        <v/>
      </c>
      <c r="O1572" s="33" t="str">
        <f t="shared" si="178"/>
        <v/>
      </c>
      <c r="P1572" t="str">
        <f t="shared" si="179"/>
        <v/>
      </c>
      <c r="Q1572" s="33" t="str">
        <f t="shared" si="180"/>
        <v/>
      </c>
      <c r="R1572" s="39" t="str">
        <f t="shared" si="181"/>
        <v/>
      </c>
    </row>
    <row r="1573" spans="6:18" x14ac:dyDescent="0.25">
      <c r="F1573" s="35">
        <v>1567</v>
      </c>
      <c r="L1573" s="33" t="str">
        <f t="shared" si="175"/>
        <v/>
      </c>
      <c r="M1573" t="str">
        <f t="shared" si="176"/>
        <v/>
      </c>
      <c r="N1573" s="33" t="str">
        <f t="shared" si="177"/>
        <v/>
      </c>
      <c r="O1573" s="33" t="str">
        <f t="shared" si="178"/>
        <v/>
      </c>
      <c r="P1573" t="str">
        <f t="shared" si="179"/>
        <v/>
      </c>
      <c r="Q1573" s="33" t="str">
        <f t="shared" si="180"/>
        <v/>
      </c>
      <c r="R1573" s="39" t="str">
        <f t="shared" si="181"/>
        <v/>
      </c>
    </row>
    <row r="1574" spans="6:18" x14ac:dyDescent="0.25">
      <c r="F1574" s="35">
        <v>1568</v>
      </c>
      <c r="L1574" s="33" t="str">
        <f t="shared" si="175"/>
        <v/>
      </c>
      <c r="M1574" t="str">
        <f t="shared" si="176"/>
        <v/>
      </c>
      <c r="N1574" s="33" t="str">
        <f t="shared" si="177"/>
        <v/>
      </c>
      <c r="O1574" s="33" t="str">
        <f t="shared" si="178"/>
        <v/>
      </c>
      <c r="P1574" t="str">
        <f t="shared" si="179"/>
        <v/>
      </c>
      <c r="Q1574" s="33" t="str">
        <f t="shared" si="180"/>
        <v/>
      </c>
      <c r="R1574" s="39" t="str">
        <f t="shared" si="181"/>
        <v/>
      </c>
    </row>
    <row r="1575" spans="6:18" x14ac:dyDescent="0.25">
      <c r="F1575" s="35">
        <v>1569</v>
      </c>
      <c r="L1575" s="33" t="str">
        <f t="shared" si="175"/>
        <v/>
      </c>
      <c r="M1575" t="str">
        <f t="shared" si="176"/>
        <v/>
      </c>
      <c r="N1575" s="33" t="str">
        <f t="shared" si="177"/>
        <v/>
      </c>
      <c r="O1575" s="33" t="str">
        <f t="shared" si="178"/>
        <v/>
      </c>
      <c r="P1575" t="str">
        <f t="shared" si="179"/>
        <v/>
      </c>
      <c r="Q1575" s="33" t="str">
        <f t="shared" si="180"/>
        <v/>
      </c>
      <c r="R1575" s="39" t="str">
        <f t="shared" si="181"/>
        <v/>
      </c>
    </row>
    <row r="1576" spans="6:18" x14ac:dyDescent="0.25">
      <c r="F1576" s="35">
        <v>1570</v>
      </c>
      <c r="L1576" s="33" t="str">
        <f t="shared" si="175"/>
        <v/>
      </c>
      <c r="M1576" t="str">
        <f t="shared" si="176"/>
        <v/>
      </c>
      <c r="N1576" s="33" t="str">
        <f t="shared" si="177"/>
        <v/>
      </c>
      <c r="O1576" s="33" t="str">
        <f t="shared" si="178"/>
        <v/>
      </c>
      <c r="P1576" t="str">
        <f t="shared" si="179"/>
        <v/>
      </c>
      <c r="Q1576" s="33" t="str">
        <f t="shared" si="180"/>
        <v/>
      </c>
      <c r="R1576" s="39" t="str">
        <f t="shared" si="181"/>
        <v/>
      </c>
    </row>
    <row r="1577" spans="6:18" x14ac:dyDescent="0.25">
      <c r="F1577" s="35">
        <v>1571</v>
      </c>
      <c r="L1577" s="33" t="str">
        <f t="shared" si="175"/>
        <v/>
      </c>
      <c r="M1577" t="str">
        <f t="shared" si="176"/>
        <v/>
      </c>
      <c r="N1577" s="33" t="str">
        <f t="shared" si="177"/>
        <v/>
      </c>
      <c r="O1577" s="33" t="str">
        <f t="shared" si="178"/>
        <v/>
      </c>
      <c r="P1577" t="str">
        <f t="shared" si="179"/>
        <v/>
      </c>
      <c r="Q1577" s="33" t="str">
        <f t="shared" si="180"/>
        <v/>
      </c>
      <c r="R1577" s="39" t="str">
        <f t="shared" si="181"/>
        <v/>
      </c>
    </row>
    <row r="1578" spans="6:18" x14ac:dyDescent="0.25">
      <c r="F1578" s="35">
        <v>1572</v>
      </c>
      <c r="L1578" s="33" t="str">
        <f t="shared" si="175"/>
        <v/>
      </c>
      <c r="M1578" t="str">
        <f t="shared" si="176"/>
        <v/>
      </c>
      <c r="N1578" s="33" t="str">
        <f t="shared" si="177"/>
        <v/>
      </c>
      <c r="O1578" s="33" t="str">
        <f t="shared" si="178"/>
        <v/>
      </c>
      <c r="P1578" t="str">
        <f t="shared" si="179"/>
        <v/>
      </c>
      <c r="Q1578" s="33" t="str">
        <f t="shared" si="180"/>
        <v/>
      </c>
      <c r="R1578" s="39" t="str">
        <f t="shared" si="181"/>
        <v/>
      </c>
    </row>
    <row r="1579" spans="6:18" x14ac:dyDescent="0.25">
      <c r="F1579" s="35">
        <v>1573</v>
      </c>
      <c r="L1579" s="33" t="str">
        <f t="shared" si="175"/>
        <v/>
      </c>
      <c r="M1579" t="str">
        <f t="shared" si="176"/>
        <v/>
      </c>
      <c r="N1579" s="33" t="str">
        <f t="shared" si="177"/>
        <v/>
      </c>
      <c r="O1579" s="33" t="str">
        <f t="shared" si="178"/>
        <v/>
      </c>
      <c r="P1579" t="str">
        <f t="shared" si="179"/>
        <v/>
      </c>
      <c r="Q1579" s="33" t="str">
        <f t="shared" si="180"/>
        <v/>
      </c>
      <c r="R1579" s="39" t="str">
        <f t="shared" si="181"/>
        <v/>
      </c>
    </row>
    <row r="1580" spans="6:18" x14ac:dyDescent="0.25">
      <c r="F1580" s="35">
        <v>1574</v>
      </c>
      <c r="L1580" s="33" t="str">
        <f t="shared" si="175"/>
        <v/>
      </c>
      <c r="M1580" t="str">
        <f t="shared" si="176"/>
        <v/>
      </c>
      <c r="N1580" s="33" t="str">
        <f t="shared" si="177"/>
        <v/>
      </c>
      <c r="O1580" s="33" t="str">
        <f t="shared" si="178"/>
        <v/>
      </c>
      <c r="P1580" t="str">
        <f t="shared" si="179"/>
        <v/>
      </c>
      <c r="Q1580" s="33" t="str">
        <f t="shared" si="180"/>
        <v/>
      </c>
      <c r="R1580" s="39" t="str">
        <f t="shared" si="181"/>
        <v/>
      </c>
    </row>
    <row r="1581" spans="6:18" x14ac:dyDescent="0.25">
      <c r="F1581" s="35">
        <v>1575</v>
      </c>
      <c r="L1581" s="33" t="str">
        <f t="shared" si="175"/>
        <v/>
      </c>
      <c r="M1581" t="str">
        <f t="shared" si="176"/>
        <v/>
      </c>
      <c r="N1581" s="33" t="str">
        <f t="shared" si="177"/>
        <v/>
      </c>
      <c r="O1581" s="33" t="str">
        <f t="shared" si="178"/>
        <v/>
      </c>
      <c r="P1581" t="str">
        <f t="shared" si="179"/>
        <v/>
      </c>
      <c r="Q1581" s="33" t="str">
        <f t="shared" si="180"/>
        <v/>
      </c>
      <c r="R1581" s="39" t="str">
        <f t="shared" si="181"/>
        <v/>
      </c>
    </row>
    <row r="1582" spans="6:18" x14ac:dyDescent="0.25">
      <c r="F1582" s="35">
        <v>1576</v>
      </c>
      <c r="L1582" s="33" t="str">
        <f t="shared" si="175"/>
        <v/>
      </c>
      <c r="M1582" t="str">
        <f t="shared" si="176"/>
        <v/>
      </c>
      <c r="N1582" s="33" t="str">
        <f t="shared" si="177"/>
        <v/>
      </c>
      <c r="O1582" s="33" t="str">
        <f t="shared" si="178"/>
        <v/>
      </c>
      <c r="P1582" t="str">
        <f t="shared" si="179"/>
        <v/>
      </c>
      <c r="Q1582" s="33" t="str">
        <f t="shared" si="180"/>
        <v/>
      </c>
      <c r="R1582" s="39" t="str">
        <f t="shared" si="181"/>
        <v/>
      </c>
    </row>
    <row r="1583" spans="6:18" x14ac:dyDescent="0.25">
      <c r="F1583" s="35">
        <v>1577</v>
      </c>
      <c r="L1583" s="33" t="str">
        <f t="shared" si="175"/>
        <v/>
      </c>
      <c r="M1583" t="str">
        <f t="shared" si="176"/>
        <v/>
      </c>
      <c r="N1583" s="33" t="str">
        <f t="shared" si="177"/>
        <v/>
      </c>
      <c r="O1583" s="33" t="str">
        <f t="shared" si="178"/>
        <v/>
      </c>
      <c r="P1583" t="str">
        <f t="shared" si="179"/>
        <v/>
      </c>
      <c r="Q1583" s="33" t="str">
        <f t="shared" si="180"/>
        <v/>
      </c>
      <c r="R1583" s="39" t="str">
        <f t="shared" si="181"/>
        <v/>
      </c>
    </row>
    <row r="1584" spans="6:18" x14ac:dyDescent="0.25">
      <c r="F1584" s="35">
        <v>1578</v>
      </c>
      <c r="L1584" s="33" t="str">
        <f t="shared" si="175"/>
        <v/>
      </c>
      <c r="M1584" t="str">
        <f t="shared" si="176"/>
        <v/>
      </c>
      <c r="N1584" s="33" t="str">
        <f t="shared" si="177"/>
        <v/>
      </c>
      <c r="O1584" s="33" t="str">
        <f t="shared" si="178"/>
        <v/>
      </c>
      <c r="P1584" t="str">
        <f t="shared" si="179"/>
        <v/>
      </c>
      <c r="Q1584" s="33" t="str">
        <f t="shared" si="180"/>
        <v/>
      </c>
      <c r="R1584" s="39" t="str">
        <f t="shared" si="181"/>
        <v/>
      </c>
    </row>
    <row r="1585" spans="6:18" x14ac:dyDescent="0.25">
      <c r="F1585" s="35">
        <v>1579</v>
      </c>
      <c r="L1585" s="33" t="str">
        <f t="shared" si="175"/>
        <v/>
      </c>
      <c r="M1585" t="str">
        <f t="shared" si="176"/>
        <v/>
      </c>
      <c r="N1585" s="33" t="str">
        <f t="shared" si="177"/>
        <v/>
      </c>
      <c r="O1585" s="33" t="str">
        <f t="shared" si="178"/>
        <v/>
      </c>
      <c r="P1585" t="str">
        <f t="shared" si="179"/>
        <v/>
      </c>
      <c r="Q1585" s="33" t="str">
        <f t="shared" si="180"/>
        <v/>
      </c>
      <c r="R1585" s="39" t="str">
        <f t="shared" si="181"/>
        <v/>
      </c>
    </row>
    <row r="1586" spans="6:18" x14ac:dyDescent="0.25">
      <c r="F1586" s="35">
        <v>1580</v>
      </c>
      <c r="L1586" s="33" t="str">
        <f t="shared" si="175"/>
        <v/>
      </c>
      <c r="M1586" t="str">
        <f t="shared" si="176"/>
        <v/>
      </c>
      <c r="N1586" s="33" t="str">
        <f t="shared" si="177"/>
        <v/>
      </c>
      <c r="O1586" s="33" t="str">
        <f t="shared" si="178"/>
        <v/>
      </c>
      <c r="P1586" t="str">
        <f t="shared" si="179"/>
        <v/>
      </c>
      <c r="Q1586" s="33" t="str">
        <f t="shared" si="180"/>
        <v/>
      </c>
      <c r="R1586" s="39" t="str">
        <f t="shared" si="181"/>
        <v/>
      </c>
    </row>
    <row r="1587" spans="6:18" x14ac:dyDescent="0.25">
      <c r="F1587" s="35">
        <v>1581</v>
      </c>
      <c r="L1587" s="33" t="str">
        <f t="shared" si="175"/>
        <v/>
      </c>
      <c r="M1587" t="str">
        <f t="shared" si="176"/>
        <v/>
      </c>
      <c r="N1587" s="33" t="str">
        <f t="shared" si="177"/>
        <v/>
      </c>
      <c r="O1587" s="33" t="str">
        <f t="shared" si="178"/>
        <v/>
      </c>
      <c r="P1587" t="str">
        <f t="shared" si="179"/>
        <v/>
      </c>
      <c r="Q1587" s="33" t="str">
        <f t="shared" si="180"/>
        <v/>
      </c>
      <c r="R1587" s="39" t="str">
        <f t="shared" si="181"/>
        <v/>
      </c>
    </row>
    <row r="1588" spans="6:18" x14ac:dyDescent="0.25">
      <c r="F1588" s="35">
        <v>1582</v>
      </c>
      <c r="L1588" s="33" t="str">
        <f t="shared" si="175"/>
        <v/>
      </c>
      <c r="M1588" t="str">
        <f t="shared" si="176"/>
        <v/>
      </c>
      <c r="N1588" s="33" t="str">
        <f t="shared" si="177"/>
        <v/>
      </c>
      <c r="O1588" s="33" t="str">
        <f t="shared" si="178"/>
        <v/>
      </c>
      <c r="P1588" t="str">
        <f t="shared" si="179"/>
        <v/>
      </c>
      <c r="Q1588" s="33" t="str">
        <f t="shared" si="180"/>
        <v/>
      </c>
      <c r="R1588" s="39" t="str">
        <f t="shared" si="181"/>
        <v/>
      </c>
    </row>
    <row r="1589" spans="6:18" x14ac:dyDescent="0.25">
      <c r="F1589" s="35">
        <v>1583</v>
      </c>
      <c r="L1589" s="33" t="str">
        <f t="shared" si="175"/>
        <v/>
      </c>
      <c r="M1589" t="str">
        <f t="shared" si="176"/>
        <v/>
      </c>
      <c r="N1589" s="33" t="str">
        <f t="shared" si="177"/>
        <v/>
      </c>
      <c r="O1589" s="33" t="str">
        <f t="shared" si="178"/>
        <v/>
      </c>
      <c r="P1589" t="str">
        <f t="shared" si="179"/>
        <v/>
      </c>
      <c r="Q1589" s="33" t="str">
        <f t="shared" si="180"/>
        <v/>
      </c>
      <c r="R1589" s="39" t="str">
        <f t="shared" si="181"/>
        <v/>
      </c>
    </row>
    <row r="1590" spans="6:18" x14ac:dyDescent="0.25">
      <c r="F1590" s="35">
        <v>1584</v>
      </c>
      <c r="L1590" s="33" t="str">
        <f t="shared" si="175"/>
        <v/>
      </c>
      <c r="M1590" t="str">
        <f t="shared" si="176"/>
        <v/>
      </c>
      <c r="N1590" s="33" t="str">
        <f t="shared" si="177"/>
        <v/>
      </c>
      <c r="O1590" s="33" t="str">
        <f t="shared" si="178"/>
        <v/>
      </c>
      <c r="P1590" t="str">
        <f t="shared" si="179"/>
        <v/>
      </c>
      <c r="Q1590" s="33" t="str">
        <f t="shared" si="180"/>
        <v/>
      </c>
      <c r="R1590" s="39" t="str">
        <f t="shared" si="181"/>
        <v/>
      </c>
    </row>
    <row r="1591" spans="6:18" x14ac:dyDescent="0.25">
      <c r="F1591" s="35">
        <v>1585</v>
      </c>
      <c r="L1591" s="33" t="str">
        <f t="shared" si="175"/>
        <v/>
      </c>
      <c r="M1591" t="str">
        <f t="shared" si="176"/>
        <v/>
      </c>
      <c r="N1591" s="33" t="str">
        <f t="shared" si="177"/>
        <v/>
      </c>
      <c r="O1591" s="33" t="str">
        <f t="shared" si="178"/>
        <v/>
      </c>
      <c r="P1591" t="str">
        <f t="shared" si="179"/>
        <v/>
      </c>
      <c r="Q1591" s="33" t="str">
        <f t="shared" si="180"/>
        <v/>
      </c>
      <c r="R1591" s="39" t="str">
        <f t="shared" si="181"/>
        <v/>
      </c>
    </row>
    <row r="1592" spans="6:18" x14ac:dyDescent="0.25">
      <c r="F1592" s="35">
        <v>1586</v>
      </c>
      <c r="L1592" s="33" t="str">
        <f t="shared" si="175"/>
        <v/>
      </c>
      <c r="M1592" t="str">
        <f t="shared" si="176"/>
        <v/>
      </c>
      <c r="N1592" s="33" t="str">
        <f t="shared" si="177"/>
        <v/>
      </c>
      <c r="O1592" s="33" t="str">
        <f t="shared" si="178"/>
        <v/>
      </c>
      <c r="P1592" t="str">
        <f t="shared" si="179"/>
        <v/>
      </c>
      <c r="Q1592" s="33" t="str">
        <f t="shared" si="180"/>
        <v/>
      </c>
      <c r="R1592" s="39" t="str">
        <f t="shared" si="181"/>
        <v/>
      </c>
    </row>
    <row r="1593" spans="6:18" x14ac:dyDescent="0.25">
      <c r="F1593" s="35">
        <v>1587</v>
      </c>
      <c r="L1593" s="33" t="str">
        <f t="shared" si="175"/>
        <v/>
      </c>
      <c r="M1593" t="str">
        <f t="shared" si="176"/>
        <v/>
      </c>
      <c r="N1593" s="33" t="str">
        <f t="shared" si="177"/>
        <v/>
      </c>
      <c r="O1593" s="33" t="str">
        <f t="shared" si="178"/>
        <v/>
      </c>
      <c r="P1593" t="str">
        <f t="shared" si="179"/>
        <v/>
      </c>
      <c r="Q1593" s="33" t="str">
        <f t="shared" si="180"/>
        <v/>
      </c>
      <c r="R1593" s="39" t="str">
        <f t="shared" si="181"/>
        <v/>
      </c>
    </row>
    <row r="1594" spans="6:18" x14ac:dyDescent="0.25">
      <c r="F1594" s="35">
        <v>1588</v>
      </c>
      <c r="L1594" s="33" t="str">
        <f t="shared" si="175"/>
        <v/>
      </c>
      <c r="M1594" t="str">
        <f t="shared" si="176"/>
        <v/>
      </c>
      <c r="N1594" s="33" t="str">
        <f t="shared" si="177"/>
        <v/>
      </c>
      <c r="O1594" s="33" t="str">
        <f t="shared" si="178"/>
        <v/>
      </c>
      <c r="P1594" t="str">
        <f t="shared" si="179"/>
        <v/>
      </c>
      <c r="Q1594" s="33" t="str">
        <f t="shared" si="180"/>
        <v/>
      </c>
      <c r="R1594" s="39" t="str">
        <f t="shared" si="181"/>
        <v/>
      </c>
    </row>
    <row r="1595" spans="6:18" x14ac:dyDescent="0.25">
      <c r="F1595" s="35">
        <v>1589</v>
      </c>
      <c r="L1595" s="33" t="str">
        <f t="shared" si="175"/>
        <v/>
      </c>
      <c r="M1595" t="str">
        <f t="shared" si="176"/>
        <v/>
      </c>
      <c r="N1595" s="33" t="str">
        <f t="shared" si="177"/>
        <v/>
      </c>
      <c r="O1595" s="33" t="str">
        <f t="shared" si="178"/>
        <v/>
      </c>
      <c r="P1595" t="str">
        <f t="shared" si="179"/>
        <v/>
      </c>
      <c r="Q1595" s="33" t="str">
        <f t="shared" si="180"/>
        <v/>
      </c>
      <c r="R1595" s="39" t="str">
        <f t="shared" si="181"/>
        <v/>
      </c>
    </row>
    <row r="1596" spans="6:18" x14ac:dyDescent="0.25">
      <c r="F1596" s="35">
        <v>1590</v>
      </c>
      <c r="L1596" s="33" t="str">
        <f t="shared" si="175"/>
        <v/>
      </c>
      <c r="M1596" t="str">
        <f t="shared" si="176"/>
        <v/>
      </c>
      <c r="N1596" s="33" t="str">
        <f t="shared" si="177"/>
        <v/>
      </c>
      <c r="O1596" s="33" t="str">
        <f t="shared" si="178"/>
        <v/>
      </c>
      <c r="P1596" t="str">
        <f t="shared" si="179"/>
        <v/>
      </c>
      <c r="Q1596" s="33" t="str">
        <f t="shared" si="180"/>
        <v/>
      </c>
      <c r="R1596" s="39" t="str">
        <f t="shared" si="181"/>
        <v/>
      </c>
    </row>
    <row r="1597" spans="6:18" x14ac:dyDescent="0.25">
      <c r="F1597" s="35">
        <v>1591</v>
      </c>
      <c r="L1597" s="33" t="str">
        <f t="shared" si="175"/>
        <v/>
      </c>
      <c r="M1597" t="str">
        <f t="shared" si="176"/>
        <v/>
      </c>
      <c r="N1597" s="33" t="str">
        <f t="shared" si="177"/>
        <v/>
      </c>
      <c r="O1597" s="33" t="str">
        <f t="shared" si="178"/>
        <v/>
      </c>
      <c r="P1597" t="str">
        <f t="shared" si="179"/>
        <v/>
      </c>
      <c r="Q1597" s="33" t="str">
        <f t="shared" si="180"/>
        <v/>
      </c>
      <c r="R1597" s="39" t="str">
        <f t="shared" si="181"/>
        <v/>
      </c>
    </row>
    <row r="1598" spans="6:18" x14ac:dyDescent="0.25">
      <c r="F1598" s="35">
        <v>1592</v>
      </c>
      <c r="L1598" s="33" t="str">
        <f t="shared" si="175"/>
        <v/>
      </c>
      <c r="M1598" t="str">
        <f t="shared" si="176"/>
        <v/>
      </c>
      <c r="N1598" s="33" t="str">
        <f t="shared" si="177"/>
        <v/>
      </c>
      <c r="O1598" s="33" t="str">
        <f t="shared" si="178"/>
        <v/>
      </c>
      <c r="P1598" t="str">
        <f t="shared" si="179"/>
        <v/>
      </c>
      <c r="Q1598" s="33" t="str">
        <f t="shared" si="180"/>
        <v/>
      </c>
      <c r="R1598" s="39" t="str">
        <f t="shared" si="181"/>
        <v/>
      </c>
    </row>
    <row r="1599" spans="6:18" x14ac:dyDescent="0.25">
      <c r="F1599" s="35">
        <v>1593</v>
      </c>
      <c r="L1599" s="33" t="str">
        <f t="shared" si="175"/>
        <v/>
      </c>
      <c r="M1599" t="str">
        <f t="shared" si="176"/>
        <v/>
      </c>
      <c r="N1599" s="33" t="str">
        <f t="shared" si="177"/>
        <v/>
      </c>
      <c r="O1599" s="33" t="str">
        <f t="shared" si="178"/>
        <v/>
      </c>
      <c r="P1599" t="str">
        <f t="shared" si="179"/>
        <v/>
      </c>
      <c r="Q1599" s="33" t="str">
        <f t="shared" si="180"/>
        <v/>
      </c>
      <c r="R1599" s="39" t="str">
        <f t="shared" si="181"/>
        <v/>
      </c>
    </row>
    <row r="1600" spans="6:18" x14ac:dyDescent="0.25">
      <c r="F1600" s="35">
        <v>1594</v>
      </c>
      <c r="L1600" s="33" t="str">
        <f t="shared" si="175"/>
        <v/>
      </c>
      <c r="M1600" t="str">
        <f t="shared" si="176"/>
        <v/>
      </c>
      <c r="N1600" s="33" t="str">
        <f t="shared" si="177"/>
        <v/>
      </c>
      <c r="O1600" s="33" t="str">
        <f t="shared" si="178"/>
        <v/>
      </c>
      <c r="P1600" t="str">
        <f t="shared" si="179"/>
        <v/>
      </c>
      <c r="Q1600" s="33" t="str">
        <f t="shared" si="180"/>
        <v/>
      </c>
      <c r="R1600" s="39" t="str">
        <f t="shared" si="181"/>
        <v/>
      </c>
    </row>
    <row r="1601" spans="6:18" x14ac:dyDescent="0.25">
      <c r="F1601" s="35">
        <v>1595</v>
      </c>
      <c r="L1601" s="33" t="str">
        <f t="shared" si="175"/>
        <v/>
      </c>
      <c r="M1601" t="str">
        <f t="shared" si="176"/>
        <v/>
      </c>
      <c r="N1601" s="33" t="str">
        <f t="shared" si="177"/>
        <v/>
      </c>
      <c r="O1601" s="33" t="str">
        <f t="shared" si="178"/>
        <v/>
      </c>
      <c r="P1601" t="str">
        <f t="shared" si="179"/>
        <v/>
      </c>
      <c r="Q1601" s="33" t="str">
        <f t="shared" si="180"/>
        <v/>
      </c>
      <c r="R1601" s="39" t="str">
        <f t="shared" si="181"/>
        <v/>
      </c>
    </row>
    <row r="1602" spans="6:18" x14ac:dyDescent="0.25">
      <c r="F1602" s="35">
        <v>1596</v>
      </c>
      <c r="L1602" s="33" t="str">
        <f t="shared" si="175"/>
        <v/>
      </c>
      <c r="M1602" t="str">
        <f t="shared" si="176"/>
        <v/>
      </c>
      <c r="N1602" s="33" t="str">
        <f t="shared" si="177"/>
        <v/>
      </c>
      <c r="O1602" s="33" t="str">
        <f t="shared" si="178"/>
        <v/>
      </c>
      <c r="P1602" t="str">
        <f t="shared" si="179"/>
        <v/>
      </c>
      <c r="Q1602" s="33" t="str">
        <f t="shared" si="180"/>
        <v/>
      </c>
      <c r="R1602" s="39" t="str">
        <f t="shared" si="181"/>
        <v/>
      </c>
    </row>
    <row r="1603" spans="6:18" x14ac:dyDescent="0.25">
      <c r="F1603" s="35">
        <v>1597</v>
      </c>
      <c r="L1603" s="33" t="str">
        <f t="shared" si="175"/>
        <v/>
      </c>
      <c r="M1603" t="str">
        <f t="shared" si="176"/>
        <v/>
      </c>
      <c r="N1603" s="33" t="str">
        <f t="shared" si="177"/>
        <v/>
      </c>
      <c r="O1603" s="33" t="str">
        <f t="shared" si="178"/>
        <v/>
      </c>
      <c r="P1603" t="str">
        <f t="shared" si="179"/>
        <v/>
      </c>
      <c r="Q1603" s="33" t="str">
        <f t="shared" si="180"/>
        <v/>
      </c>
      <c r="R1603" s="39" t="str">
        <f t="shared" si="181"/>
        <v/>
      </c>
    </row>
    <row r="1604" spans="6:18" x14ac:dyDescent="0.25">
      <c r="F1604" s="35">
        <v>1598</v>
      </c>
      <c r="L1604" s="33" t="str">
        <f t="shared" si="175"/>
        <v/>
      </c>
      <c r="M1604" t="str">
        <f t="shared" si="176"/>
        <v/>
      </c>
      <c r="N1604" s="33" t="str">
        <f t="shared" si="177"/>
        <v/>
      </c>
      <c r="O1604" s="33" t="str">
        <f t="shared" si="178"/>
        <v/>
      </c>
      <c r="P1604" t="str">
        <f t="shared" si="179"/>
        <v/>
      </c>
      <c r="Q1604" s="33" t="str">
        <f t="shared" si="180"/>
        <v/>
      </c>
      <c r="R1604" s="39" t="str">
        <f t="shared" si="181"/>
        <v/>
      </c>
    </row>
    <row r="1605" spans="6:18" x14ac:dyDescent="0.25">
      <c r="F1605" s="35">
        <v>1599</v>
      </c>
      <c r="L1605" s="33" t="str">
        <f t="shared" si="175"/>
        <v/>
      </c>
      <c r="M1605" t="str">
        <f t="shared" si="176"/>
        <v/>
      </c>
      <c r="N1605" s="33" t="str">
        <f t="shared" si="177"/>
        <v/>
      </c>
      <c r="O1605" s="33" t="str">
        <f t="shared" si="178"/>
        <v/>
      </c>
      <c r="P1605" t="str">
        <f t="shared" si="179"/>
        <v/>
      </c>
      <c r="Q1605" s="33" t="str">
        <f t="shared" si="180"/>
        <v/>
      </c>
      <c r="R1605" s="39" t="str">
        <f t="shared" si="181"/>
        <v/>
      </c>
    </row>
    <row r="1606" spans="6:18" x14ac:dyDescent="0.25">
      <c r="F1606" s="35">
        <v>1600</v>
      </c>
      <c r="L1606" s="33" t="str">
        <f t="shared" si="175"/>
        <v/>
      </c>
      <c r="M1606" t="str">
        <f t="shared" si="176"/>
        <v/>
      </c>
      <c r="N1606" s="33" t="str">
        <f t="shared" si="177"/>
        <v/>
      </c>
      <c r="O1606" s="33" t="str">
        <f t="shared" si="178"/>
        <v/>
      </c>
      <c r="P1606" t="str">
        <f t="shared" si="179"/>
        <v/>
      </c>
      <c r="Q1606" s="33" t="str">
        <f t="shared" si="180"/>
        <v/>
      </c>
      <c r="R1606" s="39" t="str">
        <f t="shared" si="181"/>
        <v/>
      </c>
    </row>
    <row r="1607" spans="6:18" x14ac:dyDescent="0.25">
      <c r="F1607" s="35">
        <v>1601</v>
      </c>
      <c r="L1607" s="33" t="str">
        <f t="shared" si="175"/>
        <v/>
      </c>
      <c r="M1607" t="str">
        <f t="shared" si="176"/>
        <v/>
      </c>
      <c r="N1607" s="33" t="str">
        <f t="shared" si="177"/>
        <v/>
      </c>
      <c r="O1607" s="33" t="str">
        <f t="shared" si="178"/>
        <v/>
      </c>
      <c r="P1607" t="str">
        <f t="shared" si="179"/>
        <v/>
      </c>
      <c r="Q1607" s="33" t="str">
        <f t="shared" si="180"/>
        <v/>
      </c>
      <c r="R1607" s="39" t="str">
        <f t="shared" si="181"/>
        <v/>
      </c>
    </row>
    <row r="1608" spans="6:18" x14ac:dyDescent="0.25">
      <c r="F1608" s="35">
        <v>1602</v>
      </c>
      <c r="L1608" s="33" t="str">
        <f t="shared" ref="L1608:L1671" si="182">IF(G1608="","",$C$4*$C$6*$C$7/360)</f>
        <v/>
      </c>
      <c r="M1608" t="str">
        <f t="shared" ref="M1608:M1671" si="183">IF(G1608="","",IF(H1608=$G$2,100,0))</f>
        <v/>
      </c>
      <c r="N1608" s="33" t="str">
        <f t="shared" ref="N1608:N1671" si="184">IF(G1608="","",L1608+M1608)</f>
        <v/>
      </c>
      <c r="O1608" s="33" t="str">
        <f t="shared" ref="O1608:O1671" si="185">IF(G1608="","",1/(1+$C$5*K1608/360)^(J1608/K1608))</f>
        <v/>
      </c>
      <c r="P1608" t="str">
        <f t="shared" ref="P1608:P1671" si="186">IF(G1608="","",H1608-$C$12)</f>
        <v/>
      </c>
      <c r="Q1608" s="33" t="str">
        <f t="shared" ref="Q1608:Q1671" si="187">IF(G1608="","",(P1608/K1608))</f>
        <v/>
      </c>
      <c r="R1608" s="39" t="str">
        <f t="shared" ref="R1608:R1671" si="188">IF(G1608="","",N1608*O1608)</f>
        <v/>
      </c>
    </row>
    <row r="1609" spans="6:18" x14ac:dyDescent="0.25">
      <c r="F1609" s="35">
        <v>1603</v>
      </c>
      <c r="L1609" s="33" t="str">
        <f t="shared" si="182"/>
        <v/>
      </c>
      <c r="M1609" t="str">
        <f t="shared" si="183"/>
        <v/>
      </c>
      <c r="N1609" s="33" t="str">
        <f t="shared" si="184"/>
        <v/>
      </c>
      <c r="O1609" s="33" t="str">
        <f t="shared" si="185"/>
        <v/>
      </c>
      <c r="P1609" t="str">
        <f t="shared" si="186"/>
        <v/>
      </c>
      <c r="Q1609" s="33" t="str">
        <f t="shared" si="187"/>
        <v/>
      </c>
      <c r="R1609" s="39" t="str">
        <f t="shared" si="188"/>
        <v/>
      </c>
    </row>
    <row r="1610" spans="6:18" x14ac:dyDescent="0.25">
      <c r="F1610" s="35">
        <v>1604</v>
      </c>
      <c r="L1610" s="33" t="str">
        <f t="shared" si="182"/>
        <v/>
      </c>
      <c r="M1610" t="str">
        <f t="shared" si="183"/>
        <v/>
      </c>
      <c r="N1610" s="33" t="str">
        <f t="shared" si="184"/>
        <v/>
      </c>
      <c r="O1610" s="33" t="str">
        <f t="shared" si="185"/>
        <v/>
      </c>
      <c r="P1610" t="str">
        <f t="shared" si="186"/>
        <v/>
      </c>
      <c r="Q1610" s="33" t="str">
        <f t="shared" si="187"/>
        <v/>
      </c>
      <c r="R1610" s="39" t="str">
        <f t="shared" si="188"/>
        <v/>
      </c>
    </row>
    <row r="1611" spans="6:18" x14ac:dyDescent="0.25">
      <c r="F1611" s="35">
        <v>1605</v>
      </c>
      <c r="L1611" s="33" t="str">
        <f t="shared" si="182"/>
        <v/>
      </c>
      <c r="M1611" t="str">
        <f t="shared" si="183"/>
        <v/>
      </c>
      <c r="N1611" s="33" t="str">
        <f t="shared" si="184"/>
        <v/>
      </c>
      <c r="O1611" s="33" t="str">
        <f t="shared" si="185"/>
        <v/>
      </c>
      <c r="P1611" t="str">
        <f t="shared" si="186"/>
        <v/>
      </c>
      <c r="Q1611" s="33" t="str">
        <f t="shared" si="187"/>
        <v/>
      </c>
      <c r="R1611" s="39" t="str">
        <f t="shared" si="188"/>
        <v/>
      </c>
    </row>
    <row r="1612" spans="6:18" x14ac:dyDescent="0.25">
      <c r="F1612" s="35">
        <v>1606</v>
      </c>
      <c r="L1612" s="33" t="str">
        <f t="shared" si="182"/>
        <v/>
      </c>
      <c r="M1612" t="str">
        <f t="shared" si="183"/>
        <v/>
      </c>
      <c r="N1612" s="33" t="str">
        <f t="shared" si="184"/>
        <v/>
      </c>
      <c r="O1612" s="33" t="str">
        <f t="shared" si="185"/>
        <v/>
      </c>
      <c r="P1612" t="str">
        <f t="shared" si="186"/>
        <v/>
      </c>
      <c r="Q1612" s="33" t="str">
        <f t="shared" si="187"/>
        <v/>
      </c>
      <c r="R1612" s="39" t="str">
        <f t="shared" si="188"/>
        <v/>
      </c>
    </row>
    <row r="1613" spans="6:18" x14ac:dyDescent="0.25">
      <c r="F1613" s="35">
        <v>1607</v>
      </c>
      <c r="L1613" s="33" t="str">
        <f t="shared" si="182"/>
        <v/>
      </c>
      <c r="M1613" t="str">
        <f t="shared" si="183"/>
        <v/>
      </c>
      <c r="N1613" s="33" t="str">
        <f t="shared" si="184"/>
        <v/>
      </c>
      <c r="O1613" s="33" t="str">
        <f t="shared" si="185"/>
        <v/>
      </c>
      <c r="P1613" t="str">
        <f t="shared" si="186"/>
        <v/>
      </c>
      <c r="Q1613" s="33" t="str">
        <f t="shared" si="187"/>
        <v/>
      </c>
      <c r="R1613" s="39" t="str">
        <f t="shared" si="188"/>
        <v/>
      </c>
    </row>
    <row r="1614" spans="6:18" x14ac:dyDescent="0.25">
      <c r="F1614" s="35">
        <v>1608</v>
      </c>
      <c r="L1614" s="33" t="str">
        <f t="shared" si="182"/>
        <v/>
      </c>
      <c r="M1614" t="str">
        <f t="shared" si="183"/>
        <v/>
      </c>
      <c r="N1614" s="33" t="str">
        <f t="shared" si="184"/>
        <v/>
      </c>
      <c r="O1614" s="33" t="str">
        <f t="shared" si="185"/>
        <v/>
      </c>
      <c r="P1614" t="str">
        <f t="shared" si="186"/>
        <v/>
      </c>
      <c r="Q1614" s="33" t="str">
        <f t="shared" si="187"/>
        <v/>
      </c>
      <c r="R1614" s="39" t="str">
        <f t="shared" si="188"/>
        <v/>
      </c>
    </row>
    <row r="1615" spans="6:18" x14ac:dyDescent="0.25">
      <c r="F1615" s="35">
        <v>1609</v>
      </c>
      <c r="L1615" s="33" t="str">
        <f t="shared" si="182"/>
        <v/>
      </c>
      <c r="M1615" t="str">
        <f t="shared" si="183"/>
        <v/>
      </c>
      <c r="N1615" s="33" t="str">
        <f t="shared" si="184"/>
        <v/>
      </c>
      <c r="O1615" s="33" t="str">
        <f t="shared" si="185"/>
        <v/>
      </c>
      <c r="P1615" t="str">
        <f t="shared" si="186"/>
        <v/>
      </c>
      <c r="Q1615" s="33" t="str">
        <f t="shared" si="187"/>
        <v/>
      </c>
      <c r="R1615" s="39" t="str">
        <f t="shared" si="188"/>
        <v/>
      </c>
    </row>
    <row r="1616" spans="6:18" x14ac:dyDescent="0.25">
      <c r="F1616" s="35">
        <v>1610</v>
      </c>
      <c r="L1616" s="33" t="str">
        <f t="shared" si="182"/>
        <v/>
      </c>
      <c r="M1616" t="str">
        <f t="shared" si="183"/>
        <v/>
      </c>
      <c r="N1616" s="33" t="str">
        <f t="shared" si="184"/>
        <v/>
      </c>
      <c r="O1616" s="33" t="str">
        <f t="shared" si="185"/>
        <v/>
      </c>
      <c r="P1616" t="str">
        <f t="shared" si="186"/>
        <v/>
      </c>
      <c r="Q1616" s="33" t="str">
        <f t="shared" si="187"/>
        <v/>
      </c>
      <c r="R1616" s="39" t="str">
        <f t="shared" si="188"/>
        <v/>
      </c>
    </row>
    <row r="1617" spans="6:18" x14ac:dyDescent="0.25">
      <c r="F1617" s="35">
        <v>1611</v>
      </c>
      <c r="L1617" s="33" t="str">
        <f t="shared" si="182"/>
        <v/>
      </c>
      <c r="M1617" t="str">
        <f t="shared" si="183"/>
        <v/>
      </c>
      <c r="N1617" s="33" t="str">
        <f t="shared" si="184"/>
        <v/>
      </c>
      <c r="O1617" s="33" t="str">
        <f t="shared" si="185"/>
        <v/>
      </c>
      <c r="P1617" t="str">
        <f t="shared" si="186"/>
        <v/>
      </c>
      <c r="Q1617" s="33" t="str">
        <f t="shared" si="187"/>
        <v/>
      </c>
      <c r="R1617" s="39" t="str">
        <f t="shared" si="188"/>
        <v/>
      </c>
    </row>
    <row r="1618" spans="6:18" x14ac:dyDescent="0.25">
      <c r="F1618" s="35">
        <v>1612</v>
      </c>
      <c r="L1618" s="33" t="str">
        <f t="shared" si="182"/>
        <v/>
      </c>
      <c r="M1618" t="str">
        <f t="shared" si="183"/>
        <v/>
      </c>
      <c r="N1618" s="33" t="str">
        <f t="shared" si="184"/>
        <v/>
      </c>
      <c r="O1618" s="33" t="str">
        <f t="shared" si="185"/>
        <v/>
      </c>
      <c r="P1618" t="str">
        <f t="shared" si="186"/>
        <v/>
      </c>
      <c r="Q1618" s="33" t="str">
        <f t="shared" si="187"/>
        <v/>
      </c>
      <c r="R1618" s="39" t="str">
        <f t="shared" si="188"/>
        <v/>
      </c>
    </row>
    <row r="1619" spans="6:18" x14ac:dyDescent="0.25">
      <c r="F1619" s="35">
        <v>1613</v>
      </c>
      <c r="L1619" s="33" t="str">
        <f t="shared" si="182"/>
        <v/>
      </c>
      <c r="M1619" t="str">
        <f t="shared" si="183"/>
        <v/>
      </c>
      <c r="N1619" s="33" t="str">
        <f t="shared" si="184"/>
        <v/>
      </c>
      <c r="O1619" s="33" t="str">
        <f t="shared" si="185"/>
        <v/>
      </c>
      <c r="P1619" t="str">
        <f t="shared" si="186"/>
        <v/>
      </c>
      <c r="Q1619" s="33" t="str">
        <f t="shared" si="187"/>
        <v/>
      </c>
      <c r="R1619" s="39" t="str">
        <f t="shared" si="188"/>
        <v/>
      </c>
    </row>
    <row r="1620" spans="6:18" x14ac:dyDescent="0.25">
      <c r="F1620" s="35">
        <v>1614</v>
      </c>
      <c r="L1620" s="33" t="str">
        <f t="shared" si="182"/>
        <v/>
      </c>
      <c r="M1620" t="str">
        <f t="shared" si="183"/>
        <v/>
      </c>
      <c r="N1620" s="33" t="str">
        <f t="shared" si="184"/>
        <v/>
      </c>
      <c r="O1620" s="33" t="str">
        <f t="shared" si="185"/>
        <v/>
      </c>
      <c r="P1620" t="str">
        <f t="shared" si="186"/>
        <v/>
      </c>
      <c r="Q1620" s="33" t="str">
        <f t="shared" si="187"/>
        <v/>
      </c>
      <c r="R1620" s="39" t="str">
        <f t="shared" si="188"/>
        <v/>
      </c>
    </row>
    <row r="1621" spans="6:18" x14ac:dyDescent="0.25">
      <c r="F1621" s="35">
        <v>1615</v>
      </c>
      <c r="L1621" s="33" t="str">
        <f t="shared" si="182"/>
        <v/>
      </c>
      <c r="M1621" t="str">
        <f t="shared" si="183"/>
        <v/>
      </c>
      <c r="N1621" s="33" t="str">
        <f t="shared" si="184"/>
        <v/>
      </c>
      <c r="O1621" s="33" t="str">
        <f t="shared" si="185"/>
        <v/>
      </c>
      <c r="P1621" t="str">
        <f t="shared" si="186"/>
        <v/>
      </c>
      <c r="Q1621" s="33" t="str">
        <f t="shared" si="187"/>
        <v/>
      </c>
      <c r="R1621" s="39" t="str">
        <f t="shared" si="188"/>
        <v/>
      </c>
    </row>
    <row r="1622" spans="6:18" x14ac:dyDescent="0.25">
      <c r="F1622" s="35">
        <v>1616</v>
      </c>
      <c r="L1622" s="33" t="str">
        <f t="shared" si="182"/>
        <v/>
      </c>
      <c r="M1622" t="str">
        <f t="shared" si="183"/>
        <v/>
      </c>
      <c r="N1622" s="33" t="str">
        <f t="shared" si="184"/>
        <v/>
      </c>
      <c r="O1622" s="33" t="str">
        <f t="shared" si="185"/>
        <v/>
      </c>
      <c r="P1622" t="str">
        <f t="shared" si="186"/>
        <v/>
      </c>
      <c r="Q1622" s="33" t="str">
        <f t="shared" si="187"/>
        <v/>
      </c>
      <c r="R1622" s="39" t="str">
        <f t="shared" si="188"/>
        <v/>
      </c>
    </row>
    <row r="1623" spans="6:18" x14ac:dyDescent="0.25">
      <c r="F1623" s="35">
        <v>1617</v>
      </c>
      <c r="L1623" s="33" t="str">
        <f t="shared" si="182"/>
        <v/>
      </c>
      <c r="M1623" t="str">
        <f t="shared" si="183"/>
        <v/>
      </c>
      <c r="N1623" s="33" t="str">
        <f t="shared" si="184"/>
        <v/>
      </c>
      <c r="O1623" s="33" t="str">
        <f t="shared" si="185"/>
        <v/>
      </c>
      <c r="P1623" t="str">
        <f t="shared" si="186"/>
        <v/>
      </c>
      <c r="Q1623" s="33" t="str">
        <f t="shared" si="187"/>
        <v/>
      </c>
      <c r="R1623" s="39" t="str">
        <f t="shared" si="188"/>
        <v/>
      </c>
    </row>
    <row r="1624" spans="6:18" x14ac:dyDescent="0.25">
      <c r="F1624" s="35">
        <v>1618</v>
      </c>
      <c r="L1624" s="33" t="str">
        <f t="shared" si="182"/>
        <v/>
      </c>
      <c r="M1624" t="str">
        <f t="shared" si="183"/>
        <v/>
      </c>
      <c r="N1624" s="33" t="str">
        <f t="shared" si="184"/>
        <v/>
      </c>
      <c r="O1624" s="33" t="str">
        <f t="shared" si="185"/>
        <v/>
      </c>
      <c r="P1624" t="str">
        <f t="shared" si="186"/>
        <v/>
      </c>
      <c r="Q1624" s="33" t="str">
        <f t="shared" si="187"/>
        <v/>
      </c>
      <c r="R1624" s="39" t="str">
        <f t="shared" si="188"/>
        <v/>
      </c>
    </row>
    <row r="1625" spans="6:18" x14ac:dyDescent="0.25">
      <c r="F1625" s="35">
        <v>1619</v>
      </c>
      <c r="L1625" s="33" t="str">
        <f t="shared" si="182"/>
        <v/>
      </c>
      <c r="M1625" t="str">
        <f t="shared" si="183"/>
        <v/>
      </c>
      <c r="N1625" s="33" t="str">
        <f t="shared" si="184"/>
        <v/>
      </c>
      <c r="O1625" s="33" t="str">
        <f t="shared" si="185"/>
        <v/>
      </c>
      <c r="P1625" t="str">
        <f t="shared" si="186"/>
        <v/>
      </c>
      <c r="Q1625" s="33" t="str">
        <f t="shared" si="187"/>
        <v/>
      </c>
      <c r="R1625" s="39" t="str">
        <f t="shared" si="188"/>
        <v/>
      </c>
    </row>
    <row r="1626" spans="6:18" x14ac:dyDescent="0.25">
      <c r="F1626" s="35">
        <v>1620</v>
      </c>
      <c r="L1626" s="33" t="str">
        <f t="shared" si="182"/>
        <v/>
      </c>
      <c r="M1626" t="str">
        <f t="shared" si="183"/>
        <v/>
      </c>
      <c r="N1626" s="33" t="str">
        <f t="shared" si="184"/>
        <v/>
      </c>
      <c r="O1626" s="33" t="str">
        <f t="shared" si="185"/>
        <v/>
      </c>
      <c r="P1626" t="str">
        <f t="shared" si="186"/>
        <v/>
      </c>
      <c r="Q1626" s="33" t="str">
        <f t="shared" si="187"/>
        <v/>
      </c>
      <c r="R1626" s="39" t="str">
        <f t="shared" si="188"/>
        <v/>
      </c>
    </row>
    <row r="1627" spans="6:18" x14ac:dyDescent="0.25">
      <c r="F1627" s="35">
        <v>1621</v>
      </c>
      <c r="L1627" s="33" t="str">
        <f t="shared" si="182"/>
        <v/>
      </c>
      <c r="M1627" t="str">
        <f t="shared" si="183"/>
        <v/>
      </c>
      <c r="N1627" s="33" t="str">
        <f t="shared" si="184"/>
        <v/>
      </c>
      <c r="O1627" s="33" t="str">
        <f t="shared" si="185"/>
        <v/>
      </c>
      <c r="P1627" t="str">
        <f t="shared" si="186"/>
        <v/>
      </c>
      <c r="Q1627" s="33" t="str">
        <f t="shared" si="187"/>
        <v/>
      </c>
      <c r="R1627" s="39" t="str">
        <f t="shared" si="188"/>
        <v/>
      </c>
    </row>
    <row r="1628" spans="6:18" x14ac:dyDescent="0.25">
      <c r="F1628" s="35">
        <v>1622</v>
      </c>
      <c r="L1628" s="33" t="str">
        <f t="shared" si="182"/>
        <v/>
      </c>
      <c r="M1628" t="str">
        <f t="shared" si="183"/>
        <v/>
      </c>
      <c r="N1628" s="33" t="str">
        <f t="shared" si="184"/>
        <v/>
      </c>
      <c r="O1628" s="33" t="str">
        <f t="shared" si="185"/>
        <v/>
      </c>
      <c r="P1628" t="str">
        <f t="shared" si="186"/>
        <v/>
      </c>
      <c r="Q1628" s="33" t="str">
        <f t="shared" si="187"/>
        <v/>
      </c>
      <c r="R1628" s="39" t="str">
        <f t="shared" si="188"/>
        <v/>
      </c>
    </row>
    <row r="1629" spans="6:18" x14ac:dyDescent="0.25">
      <c r="F1629" s="35">
        <v>1623</v>
      </c>
      <c r="L1629" s="33" t="str">
        <f t="shared" si="182"/>
        <v/>
      </c>
      <c r="M1629" t="str">
        <f t="shared" si="183"/>
        <v/>
      </c>
      <c r="N1629" s="33" t="str">
        <f t="shared" si="184"/>
        <v/>
      </c>
      <c r="O1629" s="33" t="str">
        <f t="shared" si="185"/>
        <v/>
      </c>
      <c r="P1629" t="str">
        <f t="shared" si="186"/>
        <v/>
      </c>
      <c r="Q1629" s="33" t="str">
        <f t="shared" si="187"/>
        <v/>
      </c>
      <c r="R1629" s="39" t="str">
        <f t="shared" si="188"/>
        <v/>
      </c>
    </row>
    <row r="1630" spans="6:18" x14ac:dyDescent="0.25">
      <c r="F1630" s="35">
        <v>1624</v>
      </c>
      <c r="L1630" s="33" t="str">
        <f t="shared" si="182"/>
        <v/>
      </c>
      <c r="M1630" t="str">
        <f t="shared" si="183"/>
        <v/>
      </c>
      <c r="N1630" s="33" t="str">
        <f t="shared" si="184"/>
        <v/>
      </c>
      <c r="O1630" s="33" t="str">
        <f t="shared" si="185"/>
        <v/>
      </c>
      <c r="P1630" t="str">
        <f t="shared" si="186"/>
        <v/>
      </c>
      <c r="Q1630" s="33" t="str">
        <f t="shared" si="187"/>
        <v/>
      </c>
      <c r="R1630" s="39" t="str">
        <f t="shared" si="188"/>
        <v/>
      </c>
    </row>
    <row r="1631" spans="6:18" x14ac:dyDescent="0.25">
      <c r="F1631" s="35">
        <v>1625</v>
      </c>
      <c r="L1631" s="33" t="str">
        <f t="shared" si="182"/>
        <v/>
      </c>
      <c r="M1631" t="str">
        <f t="shared" si="183"/>
        <v/>
      </c>
      <c r="N1631" s="33" t="str">
        <f t="shared" si="184"/>
        <v/>
      </c>
      <c r="O1631" s="33" t="str">
        <f t="shared" si="185"/>
        <v/>
      </c>
      <c r="P1631" t="str">
        <f t="shared" si="186"/>
        <v/>
      </c>
      <c r="Q1631" s="33" t="str">
        <f t="shared" si="187"/>
        <v/>
      </c>
      <c r="R1631" s="39" t="str">
        <f t="shared" si="188"/>
        <v/>
      </c>
    </row>
    <row r="1632" spans="6:18" x14ac:dyDescent="0.25">
      <c r="F1632" s="35">
        <v>1626</v>
      </c>
      <c r="L1632" s="33" t="str">
        <f t="shared" si="182"/>
        <v/>
      </c>
      <c r="M1632" t="str">
        <f t="shared" si="183"/>
        <v/>
      </c>
      <c r="N1632" s="33" t="str">
        <f t="shared" si="184"/>
        <v/>
      </c>
      <c r="O1632" s="33" t="str">
        <f t="shared" si="185"/>
        <v/>
      </c>
      <c r="P1632" t="str">
        <f t="shared" si="186"/>
        <v/>
      </c>
      <c r="Q1632" s="33" t="str">
        <f t="shared" si="187"/>
        <v/>
      </c>
      <c r="R1632" s="39" t="str">
        <f t="shared" si="188"/>
        <v/>
      </c>
    </row>
    <row r="1633" spans="6:18" x14ac:dyDescent="0.25">
      <c r="F1633" s="35">
        <v>1627</v>
      </c>
      <c r="L1633" s="33" t="str">
        <f t="shared" si="182"/>
        <v/>
      </c>
      <c r="M1633" t="str">
        <f t="shared" si="183"/>
        <v/>
      </c>
      <c r="N1633" s="33" t="str">
        <f t="shared" si="184"/>
        <v/>
      </c>
      <c r="O1633" s="33" t="str">
        <f t="shared" si="185"/>
        <v/>
      </c>
      <c r="P1633" t="str">
        <f t="shared" si="186"/>
        <v/>
      </c>
      <c r="Q1633" s="33" t="str">
        <f t="shared" si="187"/>
        <v/>
      </c>
      <c r="R1633" s="39" t="str">
        <f t="shared" si="188"/>
        <v/>
      </c>
    </row>
    <row r="1634" spans="6:18" x14ac:dyDescent="0.25">
      <c r="F1634" s="35">
        <v>1628</v>
      </c>
      <c r="L1634" s="33" t="str">
        <f t="shared" si="182"/>
        <v/>
      </c>
      <c r="M1634" t="str">
        <f t="shared" si="183"/>
        <v/>
      </c>
      <c r="N1634" s="33" t="str">
        <f t="shared" si="184"/>
        <v/>
      </c>
      <c r="O1634" s="33" t="str">
        <f t="shared" si="185"/>
        <v/>
      </c>
      <c r="P1634" t="str">
        <f t="shared" si="186"/>
        <v/>
      </c>
      <c r="Q1634" s="33" t="str">
        <f t="shared" si="187"/>
        <v/>
      </c>
      <c r="R1634" s="39" t="str">
        <f t="shared" si="188"/>
        <v/>
      </c>
    </row>
    <row r="1635" spans="6:18" x14ac:dyDescent="0.25">
      <c r="F1635" s="35">
        <v>1629</v>
      </c>
      <c r="L1635" s="33" t="str">
        <f t="shared" si="182"/>
        <v/>
      </c>
      <c r="M1635" t="str">
        <f t="shared" si="183"/>
        <v/>
      </c>
      <c r="N1635" s="33" t="str">
        <f t="shared" si="184"/>
        <v/>
      </c>
      <c r="O1635" s="33" t="str">
        <f t="shared" si="185"/>
        <v/>
      </c>
      <c r="P1635" t="str">
        <f t="shared" si="186"/>
        <v/>
      </c>
      <c r="Q1635" s="33" t="str">
        <f t="shared" si="187"/>
        <v/>
      </c>
      <c r="R1635" s="39" t="str">
        <f t="shared" si="188"/>
        <v/>
      </c>
    </row>
    <row r="1636" spans="6:18" x14ac:dyDescent="0.25">
      <c r="F1636" s="35">
        <v>1630</v>
      </c>
      <c r="L1636" s="33" t="str">
        <f t="shared" si="182"/>
        <v/>
      </c>
      <c r="M1636" t="str">
        <f t="shared" si="183"/>
        <v/>
      </c>
      <c r="N1636" s="33" t="str">
        <f t="shared" si="184"/>
        <v/>
      </c>
      <c r="O1636" s="33" t="str">
        <f t="shared" si="185"/>
        <v/>
      </c>
      <c r="P1636" t="str">
        <f t="shared" si="186"/>
        <v/>
      </c>
      <c r="Q1636" s="33" t="str">
        <f t="shared" si="187"/>
        <v/>
      </c>
      <c r="R1636" s="39" t="str">
        <f t="shared" si="188"/>
        <v/>
      </c>
    </row>
    <row r="1637" spans="6:18" x14ac:dyDescent="0.25">
      <c r="F1637" s="35">
        <v>1631</v>
      </c>
      <c r="L1637" s="33" t="str">
        <f t="shared" si="182"/>
        <v/>
      </c>
      <c r="M1637" t="str">
        <f t="shared" si="183"/>
        <v/>
      </c>
      <c r="N1637" s="33" t="str">
        <f t="shared" si="184"/>
        <v/>
      </c>
      <c r="O1637" s="33" t="str">
        <f t="shared" si="185"/>
        <v/>
      </c>
      <c r="P1637" t="str">
        <f t="shared" si="186"/>
        <v/>
      </c>
      <c r="Q1637" s="33" t="str">
        <f t="shared" si="187"/>
        <v/>
      </c>
      <c r="R1637" s="39" t="str">
        <f t="shared" si="188"/>
        <v/>
      </c>
    </row>
    <row r="1638" spans="6:18" x14ac:dyDescent="0.25">
      <c r="F1638" s="35">
        <v>1632</v>
      </c>
      <c r="L1638" s="33" t="str">
        <f t="shared" si="182"/>
        <v/>
      </c>
      <c r="M1638" t="str">
        <f t="shared" si="183"/>
        <v/>
      </c>
      <c r="N1638" s="33" t="str">
        <f t="shared" si="184"/>
        <v/>
      </c>
      <c r="O1638" s="33" t="str">
        <f t="shared" si="185"/>
        <v/>
      </c>
      <c r="P1638" t="str">
        <f t="shared" si="186"/>
        <v/>
      </c>
      <c r="Q1638" s="33" t="str">
        <f t="shared" si="187"/>
        <v/>
      </c>
      <c r="R1638" s="39" t="str">
        <f t="shared" si="188"/>
        <v/>
      </c>
    </row>
    <row r="1639" spans="6:18" x14ac:dyDescent="0.25">
      <c r="F1639" s="35">
        <v>1633</v>
      </c>
      <c r="L1639" s="33" t="str">
        <f t="shared" si="182"/>
        <v/>
      </c>
      <c r="M1639" t="str">
        <f t="shared" si="183"/>
        <v/>
      </c>
      <c r="N1639" s="33" t="str">
        <f t="shared" si="184"/>
        <v/>
      </c>
      <c r="O1639" s="33" t="str">
        <f t="shared" si="185"/>
        <v/>
      </c>
      <c r="P1639" t="str">
        <f t="shared" si="186"/>
        <v/>
      </c>
      <c r="Q1639" s="33" t="str">
        <f t="shared" si="187"/>
        <v/>
      </c>
      <c r="R1639" s="39" t="str">
        <f t="shared" si="188"/>
        <v/>
      </c>
    </row>
    <row r="1640" spans="6:18" x14ac:dyDescent="0.25">
      <c r="F1640" s="35">
        <v>1634</v>
      </c>
      <c r="L1640" s="33" t="str">
        <f t="shared" si="182"/>
        <v/>
      </c>
      <c r="M1640" t="str">
        <f t="shared" si="183"/>
        <v/>
      </c>
      <c r="N1640" s="33" t="str">
        <f t="shared" si="184"/>
        <v/>
      </c>
      <c r="O1640" s="33" t="str">
        <f t="shared" si="185"/>
        <v/>
      </c>
      <c r="P1640" t="str">
        <f t="shared" si="186"/>
        <v/>
      </c>
      <c r="Q1640" s="33" t="str">
        <f t="shared" si="187"/>
        <v/>
      </c>
      <c r="R1640" s="39" t="str">
        <f t="shared" si="188"/>
        <v/>
      </c>
    </row>
    <row r="1641" spans="6:18" x14ac:dyDescent="0.25">
      <c r="F1641" s="35">
        <v>1635</v>
      </c>
      <c r="L1641" s="33" t="str">
        <f t="shared" si="182"/>
        <v/>
      </c>
      <c r="M1641" t="str">
        <f t="shared" si="183"/>
        <v/>
      </c>
      <c r="N1641" s="33" t="str">
        <f t="shared" si="184"/>
        <v/>
      </c>
      <c r="O1641" s="33" t="str">
        <f t="shared" si="185"/>
        <v/>
      </c>
      <c r="P1641" t="str">
        <f t="shared" si="186"/>
        <v/>
      </c>
      <c r="Q1641" s="33" t="str">
        <f t="shared" si="187"/>
        <v/>
      </c>
      <c r="R1641" s="39" t="str">
        <f t="shared" si="188"/>
        <v/>
      </c>
    </row>
    <row r="1642" spans="6:18" x14ac:dyDescent="0.25">
      <c r="F1642" s="35">
        <v>1636</v>
      </c>
      <c r="L1642" s="33" t="str">
        <f t="shared" si="182"/>
        <v/>
      </c>
      <c r="M1642" t="str">
        <f t="shared" si="183"/>
        <v/>
      </c>
      <c r="N1642" s="33" t="str">
        <f t="shared" si="184"/>
        <v/>
      </c>
      <c r="O1642" s="33" t="str">
        <f t="shared" si="185"/>
        <v/>
      </c>
      <c r="P1642" t="str">
        <f t="shared" si="186"/>
        <v/>
      </c>
      <c r="Q1642" s="33" t="str">
        <f t="shared" si="187"/>
        <v/>
      </c>
      <c r="R1642" s="39" t="str">
        <f t="shared" si="188"/>
        <v/>
      </c>
    </row>
    <row r="1643" spans="6:18" x14ac:dyDescent="0.25">
      <c r="F1643" s="35">
        <v>1637</v>
      </c>
      <c r="L1643" s="33" t="str">
        <f t="shared" si="182"/>
        <v/>
      </c>
      <c r="M1643" t="str">
        <f t="shared" si="183"/>
        <v/>
      </c>
      <c r="N1643" s="33" t="str">
        <f t="shared" si="184"/>
        <v/>
      </c>
      <c r="O1643" s="33" t="str">
        <f t="shared" si="185"/>
        <v/>
      </c>
      <c r="P1643" t="str">
        <f t="shared" si="186"/>
        <v/>
      </c>
      <c r="Q1643" s="33" t="str">
        <f t="shared" si="187"/>
        <v/>
      </c>
      <c r="R1643" s="39" t="str">
        <f t="shared" si="188"/>
        <v/>
      </c>
    </row>
    <row r="1644" spans="6:18" x14ac:dyDescent="0.25">
      <c r="F1644" s="35">
        <v>1638</v>
      </c>
      <c r="L1644" s="33" t="str">
        <f t="shared" si="182"/>
        <v/>
      </c>
      <c r="M1644" t="str">
        <f t="shared" si="183"/>
        <v/>
      </c>
      <c r="N1644" s="33" t="str">
        <f t="shared" si="184"/>
        <v/>
      </c>
      <c r="O1644" s="33" t="str">
        <f t="shared" si="185"/>
        <v/>
      </c>
      <c r="P1644" t="str">
        <f t="shared" si="186"/>
        <v/>
      </c>
      <c r="Q1644" s="33" t="str">
        <f t="shared" si="187"/>
        <v/>
      </c>
      <c r="R1644" s="39" t="str">
        <f t="shared" si="188"/>
        <v/>
      </c>
    </row>
    <row r="1645" spans="6:18" x14ac:dyDescent="0.25">
      <c r="F1645" s="35">
        <v>1639</v>
      </c>
      <c r="L1645" s="33" t="str">
        <f t="shared" si="182"/>
        <v/>
      </c>
      <c r="M1645" t="str">
        <f t="shared" si="183"/>
        <v/>
      </c>
      <c r="N1645" s="33" t="str">
        <f t="shared" si="184"/>
        <v/>
      </c>
      <c r="O1645" s="33" t="str">
        <f t="shared" si="185"/>
        <v/>
      </c>
      <c r="P1645" t="str">
        <f t="shared" si="186"/>
        <v/>
      </c>
      <c r="Q1645" s="33" t="str">
        <f t="shared" si="187"/>
        <v/>
      </c>
      <c r="R1645" s="39" t="str">
        <f t="shared" si="188"/>
        <v/>
      </c>
    </row>
    <row r="1646" spans="6:18" x14ac:dyDescent="0.25">
      <c r="F1646" s="35">
        <v>1640</v>
      </c>
      <c r="L1646" s="33" t="str">
        <f t="shared" si="182"/>
        <v/>
      </c>
      <c r="M1646" t="str">
        <f t="shared" si="183"/>
        <v/>
      </c>
      <c r="N1646" s="33" t="str">
        <f t="shared" si="184"/>
        <v/>
      </c>
      <c r="O1646" s="33" t="str">
        <f t="shared" si="185"/>
        <v/>
      </c>
      <c r="P1646" t="str">
        <f t="shared" si="186"/>
        <v/>
      </c>
      <c r="Q1646" s="33" t="str">
        <f t="shared" si="187"/>
        <v/>
      </c>
      <c r="R1646" s="39" t="str">
        <f t="shared" si="188"/>
        <v/>
      </c>
    </row>
    <row r="1647" spans="6:18" x14ac:dyDescent="0.25">
      <c r="F1647" s="35">
        <v>1641</v>
      </c>
      <c r="L1647" s="33" t="str">
        <f t="shared" si="182"/>
        <v/>
      </c>
      <c r="M1647" t="str">
        <f t="shared" si="183"/>
        <v/>
      </c>
      <c r="N1647" s="33" t="str">
        <f t="shared" si="184"/>
        <v/>
      </c>
      <c r="O1647" s="33" t="str">
        <f t="shared" si="185"/>
        <v/>
      </c>
      <c r="P1647" t="str">
        <f t="shared" si="186"/>
        <v/>
      </c>
      <c r="Q1647" s="33" t="str">
        <f t="shared" si="187"/>
        <v/>
      </c>
      <c r="R1647" s="39" t="str">
        <f t="shared" si="188"/>
        <v/>
      </c>
    </row>
    <row r="1648" spans="6:18" x14ac:dyDescent="0.25">
      <c r="F1648" s="35">
        <v>1642</v>
      </c>
      <c r="L1648" s="33" t="str">
        <f t="shared" si="182"/>
        <v/>
      </c>
      <c r="M1648" t="str">
        <f t="shared" si="183"/>
        <v/>
      </c>
      <c r="N1648" s="33" t="str">
        <f t="shared" si="184"/>
        <v/>
      </c>
      <c r="O1648" s="33" t="str">
        <f t="shared" si="185"/>
        <v/>
      </c>
      <c r="P1648" t="str">
        <f t="shared" si="186"/>
        <v/>
      </c>
      <c r="Q1648" s="33" t="str">
        <f t="shared" si="187"/>
        <v/>
      </c>
      <c r="R1648" s="39" t="str">
        <f t="shared" si="188"/>
        <v/>
      </c>
    </row>
    <row r="1649" spans="6:18" x14ac:dyDescent="0.25">
      <c r="F1649" s="35">
        <v>1643</v>
      </c>
      <c r="L1649" s="33" t="str">
        <f t="shared" si="182"/>
        <v/>
      </c>
      <c r="M1649" t="str">
        <f t="shared" si="183"/>
        <v/>
      </c>
      <c r="N1649" s="33" t="str">
        <f t="shared" si="184"/>
        <v/>
      </c>
      <c r="O1649" s="33" t="str">
        <f t="shared" si="185"/>
        <v/>
      </c>
      <c r="P1649" t="str">
        <f t="shared" si="186"/>
        <v/>
      </c>
      <c r="Q1649" s="33" t="str">
        <f t="shared" si="187"/>
        <v/>
      </c>
      <c r="R1649" s="39" t="str">
        <f t="shared" si="188"/>
        <v/>
      </c>
    </row>
    <row r="1650" spans="6:18" x14ac:dyDescent="0.25">
      <c r="F1650" s="35">
        <v>1644</v>
      </c>
      <c r="L1650" s="33" t="str">
        <f t="shared" si="182"/>
        <v/>
      </c>
      <c r="M1650" t="str">
        <f t="shared" si="183"/>
        <v/>
      </c>
      <c r="N1650" s="33" t="str">
        <f t="shared" si="184"/>
        <v/>
      </c>
      <c r="O1650" s="33" t="str">
        <f t="shared" si="185"/>
        <v/>
      </c>
      <c r="P1650" t="str">
        <f t="shared" si="186"/>
        <v/>
      </c>
      <c r="Q1650" s="33" t="str">
        <f t="shared" si="187"/>
        <v/>
      </c>
      <c r="R1650" s="39" t="str">
        <f t="shared" si="188"/>
        <v/>
      </c>
    </row>
    <row r="1651" spans="6:18" x14ac:dyDescent="0.25">
      <c r="F1651" s="35">
        <v>1645</v>
      </c>
      <c r="L1651" s="33" t="str">
        <f t="shared" si="182"/>
        <v/>
      </c>
      <c r="M1651" t="str">
        <f t="shared" si="183"/>
        <v/>
      </c>
      <c r="N1651" s="33" t="str">
        <f t="shared" si="184"/>
        <v/>
      </c>
      <c r="O1651" s="33" t="str">
        <f t="shared" si="185"/>
        <v/>
      </c>
      <c r="P1651" t="str">
        <f t="shared" si="186"/>
        <v/>
      </c>
      <c r="Q1651" s="33" t="str">
        <f t="shared" si="187"/>
        <v/>
      </c>
      <c r="R1651" s="39" t="str">
        <f t="shared" si="188"/>
        <v/>
      </c>
    </row>
    <row r="1652" spans="6:18" x14ac:dyDescent="0.25">
      <c r="F1652" s="35">
        <v>1646</v>
      </c>
      <c r="L1652" s="33" t="str">
        <f t="shared" si="182"/>
        <v/>
      </c>
      <c r="M1652" t="str">
        <f t="shared" si="183"/>
        <v/>
      </c>
      <c r="N1652" s="33" t="str">
        <f t="shared" si="184"/>
        <v/>
      </c>
      <c r="O1652" s="33" t="str">
        <f t="shared" si="185"/>
        <v/>
      </c>
      <c r="P1652" t="str">
        <f t="shared" si="186"/>
        <v/>
      </c>
      <c r="Q1652" s="33" t="str">
        <f t="shared" si="187"/>
        <v/>
      </c>
      <c r="R1652" s="39" t="str">
        <f t="shared" si="188"/>
        <v/>
      </c>
    </row>
    <row r="1653" spans="6:18" x14ac:dyDescent="0.25">
      <c r="F1653" s="35">
        <v>1647</v>
      </c>
      <c r="L1653" s="33" t="str">
        <f t="shared" si="182"/>
        <v/>
      </c>
      <c r="M1653" t="str">
        <f t="shared" si="183"/>
        <v/>
      </c>
      <c r="N1653" s="33" t="str">
        <f t="shared" si="184"/>
        <v/>
      </c>
      <c r="O1653" s="33" t="str">
        <f t="shared" si="185"/>
        <v/>
      </c>
      <c r="P1653" t="str">
        <f t="shared" si="186"/>
        <v/>
      </c>
      <c r="Q1653" s="33" t="str">
        <f t="shared" si="187"/>
        <v/>
      </c>
      <c r="R1653" s="39" t="str">
        <f t="shared" si="188"/>
        <v/>
      </c>
    </row>
    <row r="1654" spans="6:18" x14ac:dyDescent="0.25">
      <c r="F1654" s="35">
        <v>1648</v>
      </c>
      <c r="L1654" s="33" t="str">
        <f t="shared" si="182"/>
        <v/>
      </c>
      <c r="M1654" t="str">
        <f t="shared" si="183"/>
        <v/>
      </c>
      <c r="N1654" s="33" t="str">
        <f t="shared" si="184"/>
        <v/>
      </c>
      <c r="O1654" s="33" t="str">
        <f t="shared" si="185"/>
        <v/>
      </c>
      <c r="P1654" t="str">
        <f t="shared" si="186"/>
        <v/>
      </c>
      <c r="Q1654" s="33" t="str">
        <f t="shared" si="187"/>
        <v/>
      </c>
      <c r="R1654" s="39" t="str">
        <f t="shared" si="188"/>
        <v/>
      </c>
    </row>
    <row r="1655" spans="6:18" x14ac:dyDescent="0.25">
      <c r="F1655" s="35">
        <v>1649</v>
      </c>
      <c r="L1655" s="33" t="str">
        <f t="shared" si="182"/>
        <v/>
      </c>
      <c r="M1655" t="str">
        <f t="shared" si="183"/>
        <v/>
      </c>
      <c r="N1655" s="33" t="str">
        <f t="shared" si="184"/>
        <v/>
      </c>
      <c r="O1655" s="33" t="str">
        <f t="shared" si="185"/>
        <v/>
      </c>
      <c r="P1655" t="str">
        <f t="shared" si="186"/>
        <v/>
      </c>
      <c r="Q1655" s="33" t="str">
        <f t="shared" si="187"/>
        <v/>
      </c>
      <c r="R1655" s="39" t="str">
        <f t="shared" si="188"/>
        <v/>
      </c>
    </row>
    <row r="1656" spans="6:18" x14ac:dyDescent="0.25">
      <c r="F1656" s="35">
        <v>1650</v>
      </c>
      <c r="L1656" s="33" t="str">
        <f t="shared" si="182"/>
        <v/>
      </c>
      <c r="M1656" t="str">
        <f t="shared" si="183"/>
        <v/>
      </c>
      <c r="N1656" s="33" t="str">
        <f t="shared" si="184"/>
        <v/>
      </c>
      <c r="O1656" s="33" t="str">
        <f t="shared" si="185"/>
        <v/>
      </c>
      <c r="P1656" t="str">
        <f t="shared" si="186"/>
        <v/>
      </c>
      <c r="Q1656" s="33" t="str">
        <f t="shared" si="187"/>
        <v/>
      </c>
      <c r="R1656" s="39" t="str">
        <f t="shared" si="188"/>
        <v/>
      </c>
    </row>
    <row r="1657" spans="6:18" x14ac:dyDescent="0.25">
      <c r="F1657" s="35">
        <v>1651</v>
      </c>
      <c r="L1657" s="33" t="str">
        <f t="shared" si="182"/>
        <v/>
      </c>
      <c r="M1657" t="str">
        <f t="shared" si="183"/>
        <v/>
      </c>
      <c r="N1657" s="33" t="str">
        <f t="shared" si="184"/>
        <v/>
      </c>
      <c r="O1657" s="33" t="str">
        <f t="shared" si="185"/>
        <v/>
      </c>
      <c r="P1657" t="str">
        <f t="shared" si="186"/>
        <v/>
      </c>
      <c r="Q1657" s="33" t="str">
        <f t="shared" si="187"/>
        <v/>
      </c>
      <c r="R1657" s="39" t="str">
        <f t="shared" si="188"/>
        <v/>
      </c>
    </row>
    <row r="1658" spans="6:18" x14ac:dyDescent="0.25">
      <c r="F1658" s="35">
        <v>1652</v>
      </c>
      <c r="L1658" s="33" t="str">
        <f t="shared" si="182"/>
        <v/>
      </c>
      <c r="M1658" t="str">
        <f t="shared" si="183"/>
        <v/>
      </c>
      <c r="N1658" s="33" t="str">
        <f t="shared" si="184"/>
        <v/>
      </c>
      <c r="O1658" s="33" t="str">
        <f t="shared" si="185"/>
        <v/>
      </c>
      <c r="P1658" t="str">
        <f t="shared" si="186"/>
        <v/>
      </c>
      <c r="Q1658" s="33" t="str">
        <f t="shared" si="187"/>
        <v/>
      </c>
      <c r="R1658" s="39" t="str">
        <f t="shared" si="188"/>
        <v/>
      </c>
    </row>
    <row r="1659" spans="6:18" x14ac:dyDescent="0.25">
      <c r="F1659" s="35">
        <v>1653</v>
      </c>
      <c r="L1659" s="33" t="str">
        <f t="shared" si="182"/>
        <v/>
      </c>
      <c r="M1659" t="str">
        <f t="shared" si="183"/>
        <v/>
      </c>
      <c r="N1659" s="33" t="str">
        <f t="shared" si="184"/>
        <v/>
      </c>
      <c r="O1659" s="33" t="str">
        <f t="shared" si="185"/>
        <v/>
      </c>
      <c r="P1659" t="str">
        <f t="shared" si="186"/>
        <v/>
      </c>
      <c r="Q1659" s="33" t="str">
        <f t="shared" si="187"/>
        <v/>
      </c>
      <c r="R1659" s="39" t="str">
        <f t="shared" si="188"/>
        <v/>
      </c>
    </row>
    <row r="1660" spans="6:18" x14ac:dyDescent="0.25">
      <c r="F1660" s="35">
        <v>1654</v>
      </c>
      <c r="L1660" s="33" t="str">
        <f t="shared" si="182"/>
        <v/>
      </c>
      <c r="M1660" t="str">
        <f t="shared" si="183"/>
        <v/>
      </c>
      <c r="N1660" s="33" t="str">
        <f t="shared" si="184"/>
        <v/>
      </c>
      <c r="O1660" s="33" t="str">
        <f t="shared" si="185"/>
        <v/>
      </c>
      <c r="P1660" t="str">
        <f t="shared" si="186"/>
        <v/>
      </c>
      <c r="Q1660" s="33" t="str">
        <f t="shared" si="187"/>
        <v/>
      </c>
      <c r="R1660" s="39" t="str">
        <f t="shared" si="188"/>
        <v/>
      </c>
    </row>
    <row r="1661" spans="6:18" x14ac:dyDescent="0.25">
      <c r="F1661" s="35">
        <v>1655</v>
      </c>
      <c r="L1661" s="33" t="str">
        <f t="shared" si="182"/>
        <v/>
      </c>
      <c r="M1661" t="str">
        <f t="shared" si="183"/>
        <v/>
      </c>
      <c r="N1661" s="33" t="str">
        <f t="shared" si="184"/>
        <v/>
      </c>
      <c r="O1661" s="33" t="str">
        <f t="shared" si="185"/>
        <v/>
      </c>
      <c r="P1661" t="str">
        <f t="shared" si="186"/>
        <v/>
      </c>
      <c r="Q1661" s="33" t="str">
        <f t="shared" si="187"/>
        <v/>
      </c>
      <c r="R1661" s="39" t="str">
        <f t="shared" si="188"/>
        <v/>
      </c>
    </row>
    <row r="1662" spans="6:18" x14ac:dyDescent="0.25">
      <c r="F1662" s="35">
        <v>1656</v>
      </c>
      <c r="L1662" s="33" t="str">
        <f t="shared" si="182"/>
        <v/>
      </c>
      <c r="M1662" t="str">
        <f t="shared" si="183"/>
        <v/>
      </c>
      <c r="N1662" s="33" t="str">
        <f t="shared" si="184"/>
        <v/>
      </c>
      <c r="O1662" s="33" t="str">
        <f t="shared" si="185"/>
        <v/>
      </c>
      <c r="P1662" t="str">
        <f t="shared" si="186"/>
        <v/>
      </c>
      <c r="Q1662" s="33" t="str">
        <f t="shared" si="187"/>
        <v/>
      </c>
      <c r="R1662" s="39" t="str">
        <f t="shared" si="188"/>
        <v/>
      </c>
    </row>
    <row r="1663" spans="6:18" x14ac:dyDescent="0.25">
      <c r="F1663" s="35">
        <v>1657</v>
      </c>
      <c r="L1663" s="33" t="str">
        <f t="shared" si="182"/>
        <v/>
      </c>
      <c r="M1663" t="str">
        <f t="shared" si="183"/>
        <v/>
      </c>
      <c r="N1663" s="33" t="str">
        <f t="shared" si="184"/>
        <v/>
      </c>
      <c r="O1663" s="33" t="str">
        <f t="shared" si="185"/>
        <v/>
      </c>
      <c r="P1663" t="str">
        <f t="shared" si="186"/>
        <v/>
      </c>
      <c r="Q1663" s="33" t="str">
        <f t="shared" si="187"/>
        <v/>
      </c>
      <c r="R1663" s="39" t="str">
        <f t="shared" si="188"/>
        <v/>
      </c>
    </row>
    <row r="1664" spans="6:18" x14ac:dyDescent="0.25">
      <c r="F1664" s="35">
        <v>1658</v>
      </c>
      <c r="L1664" s="33" t="str">
        <f t="shared" si="182"/>
        <v/>
      </c>
      <c r="M1664" t="str">
        <f t="shared" si="183"/>
        <v/>
      </c>
      <c r="N1664" s="33" t="str">
        <f t="shared" si="184"/>
        <v/>
      </c>
      <c r="O1664" s="33" t="str">
        <f t="shared" si="185"/>
        <v/>
      </c>
      <c r="P1664" t="str">
        <f t="shared" si="186"/>
        <v/>
      </c>
      <c r="Q1664" s="33" t="str">
        <f t="shared" si="187"/>
        <v/>
      </c>
      <c r="R1664" s="39" t="str">
        <f t="shared" si="188"/>
        <v/>
      </c>
    </row>
    <row r="1665" spans="6:18" x14ac:dyDescent="0.25">
      <c r="F1665" s="35">
        <v>1659</v>
      </c>
      <c r="L1665" s="33" t="str">
        <f t="shared" si="182"/>
        <v/>
      </c>
      <c r="M1665" t="str">
        <f t="shared" si="183"/>
        <v/>
      </c>
      <c r="N1665" s="33" t="str">
        <f t="shared" si="184"/>
        <v/>
      </c>
      <c r="O1665" s="33" t="str">
        <f t="shared" si="185"/>
        <v/>
      </c>
      <c r="P1665" t="str">
        <f t="shared" si="186"/>
        <v/>
      </c>
      <c r="Q1665" s="33" t="str">
        <f t="shared" si="187"/>
        <v/>
      </c>
      <c r="R1665" s="39" t="str">
        <f t="shared" si="188"/>
        <v/>
      </c>
    </row>
    <row r="1666" spans="6:18" x14ac:dyDescent="0.25">
      <c r="F1666" s="35">
        <v>1660</v>
      </c>
      <c r="L1666" s="33" t="str">
        <f t="shared" si="182"/>
        <v/>
      </c>
      <c r="M1666" t="str">
        <f t="shared" si="183"/>
        <v/>
      </c>
      <c r="N1666" s="33" t="str">
        <f t="shared" si="184"/>
        <v/>
      </c>
      <c r="O1666" s="33" t="str">
        <f t="shared" si="185"/>
        <v/>
      </c>
      <c r="P1666" t="str">
        <f t="shared" si="186"/>
        <v/>
      </c>
      <c r="Q1666" s="33" t="str">
        <f t="shared" si="187"/>
        <v/>
      </c>
      <c r="R1666" s="39" t="str">
        <f t="shared" si="188"/>
        <v/>
      </c>
    </row>
    <row r="1667" spans="6:18" x14ac:dyDescent="0.25">
      <c r="F1667" s="35">
        <v>1661</v>
      </c>
      <c r="L1667" s="33" t="str">
        <f t="shared" si="182"/>
        <v/>
      </c>
      <c r="M1667" t="str">
        <f t="shared" si="183"/>
        <v/>
      </c>
      <c r="N1667" s="33" t="str">
        <f t="shared" si="184"/>
        <v/>
      </c>
      <c r="O1667" s="33" t="str">
        <f t="shared" si="185"/>
        <v/>
      </c>
      <c r="P1667" t="str">
        <f t="shared" si="186"/>
        <v/>
      </c>
      <c r="Q1667" s="33" t="str">
        <f t="shared" si="187"/>
        <v/>
      </c>
      <c r="R1667" s="39" t="str">
        <f t="shared" si="188"/>
        <v/>
      </c>
    </row>
    <row r="1668" spans="6:18" x14ac:dyDescent="0.25">
      <c r="F1668" s="35">
        <v>1662</v>
      </c>
      <c r="L1668" s="33" t="str">
        <f t="shared" si="182"/>
        <v/>
      </c>
      <c r="M1668" t="str">
        <f t="shared" si="183"/>
        <v/>
      </c>
      <c r="N1668" s="33" t="str">
        <f t="shared" si="184"/>
        <v/>
      </c>
      <c r="O1668" s="33" t="str">
        <f t="shared" si="185"/>
        <v/>
      </c>
      <c r="P1668" t="str">
        <f t="shared" si="186"/>
        <v/>
      </c>
      <c r="Q1668" s="33" t="str">
        <f t="shared" si="187"/>
        <v/>
      </c>
      <c r="R1668" s="39" t="str">
        <f t="shared" si="188"/>
        <v/>
      </c>
    </row>
    <row r="1669" spans="6:18" x14ac:dyDescent="0.25">
      <c r="F1669" s="35">
        <v>1663</v>
      </c>
      <c r="L1669" s="33" t="str">
        <f t="shared" si="182"/>
        <v/>
      </c>
      <c r="M1669" t="str">
        <f t="shared" si="183"/>
        <v/>
      </c>
      <c r="N1669" s="33" t="str">
        <f t="shared" si="184"/>
        <v/>
      </c>
      <c r="O1669" s="33" t="str">
        <f t="shared" si="185"/>
        <v/>
      </c>
      <c r="P1669" t="str">
        <f t="shared" si="186"/>
        <v/>
      </c>
      <c r="Q1669" s="33" t="str">
        <f t="shared" si="187"/>
        <v/>
      </c>
      <c r="R1669" s="39" t="str">
        <f t="shared" si="188"/>
        <v/>
      </c>
    </row>
    <row r="1670" spans="6:18" x14ac:dyDescent="0.25">
      <c r="F1670" s="35">
        <v>1664</v>
      </c>
      <c r="L1670" s="33" t="str">
        <f t="shared" si="182"/>
        <v/>
      </c>
      <c r="M1670" t="str">
        <f t="shared" si="183"/>
        <v/>
      </c>
      <c r="N1670" s="33" t="str">
        <f t="shared" si="184"/>
        <v/>
      </c>
      <c r="O1670" s="33" t="str">
        <f t="shared" si="185"/>
        <v/>
      </c>
      <c r="P1670" t="str">
        <f t="shared" si="186"/>
        <v/>
      </c>
      <c r="Q1670" s="33" t="str">
        <f t="shared" si="187"/>
        <v/>
      </c>
      <c r="R1670" s="39" t="str">
        <f t="shared" si="188"/>
        <v/>
      </c>
    </row>
    <row r="1671" spans="6:18" x14ac:dyDescent="0.25">
      <c r="F1671" s="35">
        <v>1665</v>
      </c>
      <c r="L1671" s="33" t="str">
        <f t="shared" si="182"/>
        <v/>
      </c>
      <c r="M1671" t="str">
        <f t="shared" si="183"/>
        <v/>
      </c>
      <c r="N1671" s="33" t="str">
        <f t="shared" si="184"/>
        <v/>
      </c>
      <c r="O1671" s="33" t="str">
        <f t="shared" si="185"/>
        <v/>
      </c>
      <c r="P1671" t="str">
        <f t="shared" si="186"/>
        <v/>
      </c>
      <c r="Q1671" s="33" t="str">
        <f t="shared" si="187"/>
        <v/>
      </c>
      <c r="R1671" s="39" t="str">
        <f t="shared" si="188"/>
        <v/>
      </c>
    </row>
    <row r="1672" spans="6:18" x14ac:dyDescent="0.25">
      <c r="F1672" s="35">
        <v>1666</v>
      </c>
      <c r="L1672" s="33" t="str">
        <f t="shared" ref="L1672:L1735" si="189">IF(G1672="","",$C$4*$C$6*$C$7/360)</f>
        <v/>
      </c>
      <c r="M1672" t="str">
        <f t="shared" ref="M1672:M1735" si="190">IF(G1672="","",IF(H1672=$G$2,100,0))</f>
        <v/>
      </c>
      <c r="N1672" s="33" t="str">
        <f t="shared" ref="N1672:N1735" si="191">IF(G1672="","",L1672+M1672)</f>
        <v/>
      </c>
      <c r="O1672" s="33" t="str">
        <f t="shared" ref="O1672:O1735" si="192">IF(G1672="","",1/(1+$C$5*K1672/360)^(J1672/K1672))</f>
        <v/>
      </c>
      <c r="P1672" t="str">
        <f t="shared" ref="P1672:P1735" si="193">IF(G1672="","",H1672-$C$12)</f>
        <v/>
      </c>
      <c r="Q1672" s="33" t="str">
        <f t="shared" ref="Q1672:Q1735" si="194">IF(G1672="","",(P1672/K1672))</f>
        <v/>
      </c>
      <c r="R1672" s="39" t="str">
        <f t="shared" ref="R1672:R1735" si="195">IF(G1672="","",N1672*O1672)</f>
        <v/>
      </c>
    </row>
    <row r="1673" spans="6:18" x14ac:dyDescent="0.25">
      <c r="F1673" s="35">
        <v>1667</v>
      </c>
      <c r="L1673" s="33" t="str">
        <f t="shared" si="189"/>
        <v/>
      </c>
      <c r="M1673" t="str">
        <f t="shared" si="190"/>
        <v/>
      </c>
      <c r="N1673" s="33" t="str">
        <f t="shared" si="191"/>
        <v/>
      </c>
      <c r="O1673" s="33" t="str">
        <f t="shared" si="192"/>
        <v/>
      </c>
      <c r="P1673" t="str">
        <f t="shared" si="193"/>
        <v/>
      </c>
      <c r="Q1673" s="33" t="str">
        <f t="shared" si="194"/>
        <v/>
      </c>
      <c r="R1673" s="39" t="str">
        <f t="shared" si="195"/>
        <v/>
      </c>
    </row>
    <row r="1674" spans="6:18" x14ac:dyDescent="0.25">
      <c r="F1674" s="35">
        <v>1668</v>
      </c>
      <c r="L1674" s="33" t="str">
        <f t="shared" si="189"/>
        <v/>
      </c>
      <c r="M1674" t="str">
        <f t="shared" si="190"/>
        <v/>
      </c>
      <c r="N1674" s="33" t="str">
        <f t="shared" si="191"/>
        <v/>
      </c>
      <c r="O1674" s="33" t="str">
        <f t="shared" si="192"/>
        <v/>
      </c>
      <c r="P1674" t="str">
        <f t="shared" si="193"/>
        <v/>
      </c>
      <c r="Q1674" s="33" t="str">
        <f t="shared" si="194"/>
        <v/>
      </c>
      <c r="R1674" s="39" t="str">
        <f t="shared" si="195"/>
        <v/>
      </c>
    </row>
    <row r="1675" spans="6:18" x14ac:dyDescent="0.25">
      <c r="F1675" s="35">
        <v>1669</v>
      </c>
      <c r="L1675" s="33" t="str">
        <f t="shared" si="189"/>
        <v/>
      </c>
      <c r="M1675" t="str">
        <f t="shared" si="190"/>
        <v/>
      </c>
      <c r="N1675" s="33" t="str">
        <f t="shared" si="191"/>
        <v/>
      </c>
      <c r="O1675" s="33" t="str">
        <f t="shared" si="192"/>
        <v/>
      </c>
      <c r="P1675" t="str">
        <f t="shared" si="193"/>
        <v/>
      </c>
      <c r="Q1675" s="33" t="str">
        <f t="shared" si="194"/>
        <v/>
      </c>
      <c r="R1675" s="39" t="str">
        <f t="shared" si="195"/>
        <v/>
      </c>
    </row>
    <row r="1676" spans="6:18" x14ac:dyDescent="0.25">
      <c r="F1676" s="35">
        <v>1670</v>
      </c>
      <c r="L1676" s="33" t="str">
        <f t="shared" si="189"/>
        <v/>
      </c>
      <c r="M1676" t="str">
        <f t="shared" si="190"/>
        <v/>
      </c>
      <c r="N1676" s="33" t="str">
        <f t="shared" si="191"/>
        <v/>
      </c>
      <c r="O1676" s="33" t="str">
        <f t="shared" si="192"/>
        <v/>
      </c>
      <c r="P1676" t="str">
        <f t="shared" si="193"/>
        <v/>
      </c>
      <c r="Q1676" s="33" t="str">
        <f t="shared" si="194"/>
        <v/>
      </c>
      <c r="R1676" s="39" t="str">
        <f t="shared" si="195"/>
        <v/>
      </c>
    </row>
    <row r="1677" spans="6:18" x14ac:dyDescent="0.25">
      <c r="F1677" s="35">
        <v>1671</v>
      </c>
      <c r="L1677" s="33" t="str">
        <f t="shared" si="189"/>
        <v/>
      </c>
      <c r="M1677" t="str">
        <f t="shared" si="190"/>
        <v/>
      </c>
      <c r="N1677" s="33" t="str">
        <f t="shared" si="191"/>
        <v/>
      </c>
      <c r="O1677" s="33" t="str">
        <f t="shared" si="192"/>
        <v/>
      </c>
      <c r="P1677" t="str">
        <f t="shared" si="193"/>
        <v/>
      </c>
      <c r="Q1677" s="33" t="str">
        <f t="shared" si="194"/>
        <v/>
      </c>
      <c r="R1677" s="39" t="str">
        <f t="shared" si="195"/>
        <v/>
      </c>
    </row>
    <row r="1678" spans="6:18" x14ac:dyDescent="0.25">
      <c r="F1678" s="35">
        <v>1672</v>
      </c>
      <c r="L1678" s="33" t="str">
        <f t="shared" si="189"/>
        <v/>
      </c>
      <c r="M1678" t="str">
        <f t="shared" si="190"/>
        <v/>
      </c>
      <c r="N1678" s="33" t="str">
        <f t="shared" si="191"/>
        <v/>
      </c>
      <c r="O1678" s="33" t="str">
        <f t="shared" si="192"/>
        <v/>
      </c>
      <c r="P1678" t="str">
        <f t="shared" si="193"/>
        <v/>
      </c>
      <c r="Q1678" s="33" t="str">
        <f t="shared" si="194"/>
        <v/>
      </c>
      <c r="R1678" s="39" t="str">
        <f t="shared" si="195"/>
        <v/>
      </c>
    </row>
    <row r="1679" spans="6:18" x14ac:dyDescent="0.25">
      <c r="F1679" s="35">
        <v>1673</v>
      </c>
      <c r="L1679" s="33" t="str">
        <f t="shared" si="189"/>
        <v/>
      </c>
      <c r="M1679" t="str">
        <f t="shared" si="190"/>
        <v/>
      </c>
      <c r="N1679" s="33" t="str">
        <f t="shared" si="191"/>
        <v/>
      </c>
      <c r="O1679" s="33" t="str">
        <f t="shared" si="192"/>
        <v/>
      </c>
      <c r="P1679" t="str">
        <f t="shared" si="193"/>
        <v/>
      </c>
      <c r="Q1679" s="33" t="str">
        <f t="shared" si="194"/>
        <v/>
      </c>
      <c r="R1679" s="39" t="str">
        <f t="shared" si="195"/>
        <v/>
      </c>
    </row>
    <row r="1680" spans="6:18" x14ac:dyDescent="0.25">
      <c r="F1680" s="35">
        <v>1674</v>
      </c>
      <c r="L1680" s="33" t="str">
        <f t="shared" si="189"/>
        <v/>
      </c>
      <c r="M1680" t="str">
        <f t="shared" si="190"/>
        <v/>
      </c>
      <c r="N1680" s="33" t="str">
        <f t="shared" si="191"/>
        <v/>
      </c>
      <c r="O1680" s="33" t="str">
        <f t="shared" si="192"/>
        <v/>
      </c>
      <c r="P1680" t="str">
        <f t="shared" si="193"/>
        <v/>
      </c>
      <c r="Q1680" s="33" t="str">
        <f t="shared" si="194"/>
        <v/>
      </c>
      <c r="R1680" s="39" t="str">
        <f t="shared" si="195"/>
        <v/>
      </c>
    </row>
    <row r="1681" spans="6:18" x14ac:dyDescent="0.25">
      <c r="F1681" s="35">
        <v>1675</v>
      </c>
      <c r="L1681" s="33" t="str">
        <f t="shared" si="189"/>
        <v/>
      </c>
      <c r="M1681" t="str">
        <f t="shared" si="190"/>
        <v/>
      </c>
      <c r="N1681" s="33" t="str">
        <f t="shared" si="191"/>
        <v/>
      </c>
      <c r="O1681" s="33" t="str">
        <f t="shared" si="192"/>
        <v/>
      </c>
      <c r="P1681" t="str">
        <f t="shared" si="193"/>
        <v/>
      </c>
      <c r="Q1681" s="33" t="str">
        <f t="shared" si="194"/>
        <v/>
      </c>
      <c r="R1681" s="39" t="str">
        <f t="shared" si="195"/>
        <v/>
      </c>
    </row>
    <row r="1682" spans="6:18" x14ac:dyDescent="0.25">
      <c r="F1682" s="35">
        <v>1676</v>
      </c>
      <c r="L1682" s="33" t="str">
        <f t="shared" si="189"/>
        <v/>
      </c>
      <c r="M1682" t="str">
        <f t="shared" si="190"/>
        <v/>
      </c>
      <c r="N1682" s="33" t="str">
        <f t="shared" si="191"/>
        <v/>
      </c>
      <c r="O1682" s="33" t="str">
        <f t="shared" si="192"/>
        <v/>
      </c>
      <c r="P1682" t="str">
        <f t="shared" si="193"/>
        <v/>
      </c>
      <c r="Q1682" s="33" t="str">
        <f t="shared" si="194"/>
        <v/>
      </c>
      <c r="R1682" s="39" t="str">
        <f t="shared" si="195"/>
        <v/>
      </c>
    </row>
    <row r="1683" spans="6:18" x14ac:dyDescent="0.25">
      <c r="F1683" s="35">
        <v>1677</v>
      </c>
      <c r="L1683" s="33" t="str">
        <f t="shared" si="189"/>
        <v/>
      </c>
      <c r="M1683" t="str">
        <f t="shared" si="190"/>
        <v/>
      </c>
      <c r="N1683" s="33" t="str">
        <f t="shared" si="191"/>
        <v/>
      </c>
      <c r="O1683" s="33" t="str">
        <f t="shared" si="192"/>
        <v/>
      </c>
      <c r="P1683" t="str">
        <f t="shared" si="193"/>
        <v/>
      </c>
      <c r="Q1683" s="33" t="str">
        <f t="shared" si="194"/>
        <v/>
      </c>
      <c r="R1683" s="39" t="str">
        <f t="shared" si="195"/>
        <v/>
      </c>
    </row>
    <row r="1684" spans="6:18" x14ac:dyDescent="0.25">
      <c r="F1684" s="35">
        <v>1678</v>
      </c>
      <c r="L1684" s="33" t="str">
        <f t="shared" si="189"/>
        <v/>
      </c>
      <c r="M1684" t="str">
        <f t="shared" si="190"/>
        <v/>
      </c>
      <c r="N1684" s="33" t="str">
        <f t="shared" si="191"/>
        <v/>
      </c>
      <c r="O1684" s="33" t="str">
        <f t="shared" si="192"/>
        <v/>
      </c>
      <c r="P1684" t="str">
        <f t="shared" si="193"/>
        <v/>
      </c>
      <c r="Q1684" s="33" t="str">
        <f t="shared" si="194"/>
        <v/>
      </c>
      <c r="R1684" s="39" t="str">
        <f t="shared" si="195"/>
        <v/>
      </c>
    </row>
    <row r="1685" spans="6:18" x14ac:dyDescent="0.25">
      <c r="F1685" s="35">
        <v>1679</v>
      </c>
      <c r="L1685" s="33" t="str">
        <f t="shared" si="189"/>
        <v/>
      </c>
      <c r="M1685" t="str">
        <f t="shared" si="190"/>
        <v/>
      </c>
      <c r="N1685" s="33" t="str">
        <f t="shared" si="191"/>
        <v/>
      </c>
      <c r="O1685" s="33" t="str">
        <f t="shared" si="192"/>
        <v/>
      </c>
      <c r="P1685" t="str">
        <f t="shared" si="193"/>
        <v/>
      </c>
      <c r="Q1685" s="33" t="str">
        <f t="shared" si="194"/>
        <v/>
      </c>
      <c r="R1685" s="39" t="str">
        <f t="shared" si="195"/>
        <v/>
      </c>
    </row>
    <row r="1686" spans="6:18" x14ac:dyDescent="0.25">
      <c r="F1686" s="35">
        <v>1680</v>
      </c>
      <c r="L1686" s="33" t="str">
        <f t="shared" si="189"/>
        <v/>
      </c>
      <c r="M1686" t="str">
        <f t="shared" si="190"/>
        <v/>
      </c>
      <c r="N1686" s="33" t="str">
        <f t="shared" si="191"/>
        <v/>
      </c>
      <c r="O1686" s="33" t="str">
        <f t="shared" si="192"/>
        <v/>
      </c>
      <c r="P1686" t="str">
        <f t="shared" si="193"/>
        <v/>
      </c>
      <c r="Q1686" s="33" t="str">
        <f t="shared" si="194"/>
        <v/>
      </c>
      <c r="R1686" s="39" t="str">
        <f t="shared" si="195"/>
        <v/>
      </c>
    </row>
    <row r="1687" spans="6:18" x14ac:dyDescent="0.25">
      <c r="F1687" s="35">
        <v>1681</v>
      </c>
      <c r="L1687" s="33" t="str">
        <f t="shared" si="189"/>
        <v/>
      </c>
      <c r="M1687" t="str">
        <f t="shared" si="190"/>
        <v/>
      </c>
      <c r="N1687" s="33" t="str">
        <f t="shared" si="191"/>
        <v/>
      </c>
      <c r="O1687" s="33" t="str">
        <f t="shared" si="192"/>
        <v/>
      </c>
      <c r="P1687" t="str">
        <f t="shared" si="193"/>
        <v/>
      </c>
      <c r="Q1687" s="33" t="str">
        <f t="shared" si="194"/>
        <v/>
      </c>
      <c r="R1687" s="39" t="str">
        <f t="shared" si="195"/>
        <v/>
      </c>
    </row>
    <row r="1688" spans="6:18" x14ac:dyDescent="0.25">
      <c r="F1688" s="35">
        <v>1682</v>
      </c>
      <c r="L1688" s="33" t="str">
        <f t="shared" si="189"/>
        <v/>
      </c>
      <c r="M1688" t="str">
        <f t="shared" si="190"/>
        <v/>
      </c>
      <c r="N1688" s="33" t="str">
        <f t="shared" si="191"/>
        <v/>
      </c>
      <c r="O1688" s="33" t="str">
        <f t="shared" si="192"/>
        <v/>
      </c>
      <c r="P1688" t="str">
        <f t="shared" si="193"/>
        <v/>
      </c>
      <c r="Q1688" s="33" t="str">
        <f t="shared" si="194"/>
        <v/>
      </c>
      <c r="R1688" s="39" t="str">
        <f t="shared" si="195"/>
        <v/>
      </c>
    </row>
    <row r="1689" spans="6:18" x14ac:dyDescent="0.25">
      <c r="F1689" s="35">
        <v>1683</v>
      </c>
      <c r="L1689" s="33" t="str">
        <f t="shared" si="189"/>
        <v/>
      </c>
      <c r="M1689" t="str">
        <f t="shared" si="190"/>
        <v/>
      </c>
      <c r="N1689" s="33" t="str">
        <f t="shared" si="191"/>
        <v/>
      </c>
      <c r="O1689" s="33" t="str">
        <f t="shared" si="192"/>
        <v/>
      </c>
      <c r="P1689" t="str">
        <f t="shared" si="193"/>
        <v/>
      </c>
      <c r="Q1689" s="33" t="str">
        <f t="shared" si="194"/>
        <v/>
      </c>
      <c r="R1689" s="39" t="str">
        <f t="shared" si="195"/>
        <v/>
      </c>
    </row>
    <row r="1690" spans="6:18" x14ac:dyDescent="0.25">
      <c r="F1690" s="35">
        <v>1684</v>
      </c>
      <c r="L1690" s="33" t="str">
        <f t="shared" si="189"/>
        <v/>
      </c>
      <c r="M1690" t="str">
        <f t="shared" si="190"/>
        <v/>
      </c>
      <c r="N1690" s="33" t="str">
        <f t="shared" si="191"/>
        <v/>
      </c>
      <c r="O1690" s="33" t="str">
        <f t="shared" si="192"/>
        <v/>
      </c>
      <c r="P1690" t="str">
        <f t="shared" si="193"/>
        <v/>
      </c>
      <c r="Q1690" s="33" t="str">
        <f t="shared" si="194"/>
        <v/>
      </c>
      <c r="R1690" s="39" t="str">
        <f t="shared" si="195"/>
        <v/>
      </c>
    </row>
    <row r="1691" spans="6:18" x14ac:dyDescent="0.25">
      <c r="F1691" s="35">
        <v>1685</v>
      </c>
      <c r="L1691" s="33" t="str">
        <f t="shared" si="189"/>
        <v/>
      </c>
      <c r="M1691" t="str">
        <f t="shared" si="190"/>
        <v/>
      </c>
      <c r="N1691" s="33" t="str">
        <f t="shared" si="191"/>
        <v/>
      </c>
      <c r="O1691" s="33" t="str">
        <f t="shared" si="192"/>
        <v/>
      </c>
      <c r="P1691" t="str">
        <f t="shared" si="193"/>
        <v/>
      </c>
      <c r="Q1691" s="33" t="str">
        <f t="shared" si="194"/>
        <v/>
      </c>
      <c r="R1691" s="39" t="str">
        <f t="shared" si="195"/>
        <v/>
      </c>
    </row>
    <row r="1692" spans="6:18" x14ac:dyDescent="0.25">
      <c r="F1692" s="35">
        <v>1686</v>
      </c>
      <c r="L1692" s="33" t="str">
        <f t="shared" si="189"/>
        <v/>
      </c>
      <c r="M1692" t="str">
        <f t="shared" si="190"/>
        <v/>
      </c>
      <c r="N1692" s="33" t="str">
        <f t="shared" si="191"/>
        <v/>
      </c>
      <c r="O1692" s="33" t="str">
        <f t="shared" si="192"/>
        <v/>
      </c>
      <c r="P1692" t="str">
        <f t="shared" si="193"/>
        <v/>
      </c>
      <c r="Q1692" s="33" t="str">
        <f t="shared" si="194"/>
        <v/>
      </c>
      <c r="R1692" s="39" t="str">
        <f t="shared" si="195"/>
        <v/>
      </c>
    </row>
    <row r="1693" spans="6:18" x14ac:dyDescent="0.25">
      <c r="F1693" s="35">
        <v>1687</v>
      </c>
      <c r="L1693" s="33" t="str">
        <f t="shared" si="189"/>
        <v/>
      </c>
      <c r="M1693" t="str">
        <f t="shared" si="190"/>
        <v/>
      </c>
      <c r="N1693" s="33" t="str">
        <f t="shared" si="191"/>
        <v/>
      </c>
      <c r="O1693" s="33" t="str">
        <f t="shared" si="192"/>
        <v/>
      </c>
      <c r="P1693" t="str">
        <f t="shared" si="193"/>
        <v/>
      </c>
      <c r="Q1693" s="33" t="str">
        <f t="shared" si="194"/>
        <v/>
      </c>
      <c r="R1693" s="39" t="str">
        <f t="shared" si="195"/>
        <v/>
      </c>
    </row>
    <row r="1694" spans="6:18" x14ac:dyDescent="0.25">
      <c r="F1694" s="35">
        <v>1688</v>
      </c>
      <c r="L1694" s="33" t="str">
        <f t="shared" si="189"/>
        <v/>
      </c>
      <c r="M1694" t="str">
        <f t="shared" si="190"/>
        <v/>
      </c>
      <c r="N1694" s="33" t="str">
        <f t="shared" si="191"/>
        <v/>
      </c>
      <c r="O1694" s="33" t="str">
        <f t="shared" si="192"/>
        <v/>
      </c>
      <c r="P1694" t="str">
        <f t="shared" si="193"/>
        <v/>
      </c>
      <c r="Q1694" s="33" t="str">
        <f t="shared" si="194"/>
        <v/>
      </c>
      <c r="R1694" s="39" t="str">
        <f t="shared" si="195"/>
        <v/>
      </c>
    </row>
    <row r="1695" spans="6:18" x14ac:dyDescent="0.25">
      <c r="F1695" s="35">
        <v>1689</v>
      </c>
      <c r="L1695" s="33" t="str">
        <f t="shared" si="189"/>
        <v/>
      </c>
      <c r="M1695" t="str">
        <f t="shared" si="190"/>
        <v/>
      </c>
      <c r="N1695" s="33" t="str">
        <f t="shared" si="191"/>
        <v/>
      </c>
      <c r="O1695" s="33" t="str">
        <f t="shared" si="192"/>
        <v/>
      </c>
      <c r="P1695" t="str">
        <f t="shared" si="193"/>
        <v/>
      </c>
      <c r="Q1695" s="33" t="str">
        <f t="shared" si="194"/>
        <v/>
      </c>
      <c r="R1695" s="39" t="str">
        <f t="shared" si="195"/>
        <v/>
      </c>
    </row>
    <row r="1696" spans="6:18" x14ac:dyDescent="0.25">
      <c r="F1696" s="35">
        <v>1690</v>
      </c>
      <c r="L1696" s="33" t="str">
        <f t="shared" si="189"/>
        <v/>
      </c>
      <c r="M1696" t="str">
        <f t="shared" si="190"/>
        <v/>
      </c>
      <c r="N1696" s="33" t="str">
        <f t="shared" si="191"/>
        <v/>
      </c>
      <c r="O1696" s="33" t="str">
        <f t="shared" si="192"/>
        <v/>
      </c>
      <c r="P1696" t="str">
        <f t="shared" si="193"/>
        <v/>
      </c>
      <c r="Q1696" s="33" t="str">
        <f t="shared" si="194"/>
        <v/>
      </c>
      <c r="R1696" s="39" t="str">
        <f t="shared" si="195"/>
        <v/>
      </c>
    </row>
    <row r="1697" spans="6:18" x14ac:dyDescent="0.25">
      <c r="F1697" s="35">
        <v>1691</v>
      </c>
      <c r="L1697" s="33" t="str">
        <f t="shared" si="189"/>
        <v/>
      </c>
      <c r="M1697" t="str">
        <f t="shared" si="190"/>
        <v/>
      </c>
      <c r="N1697" s="33" t="str">
        <f t="shared" si="191"/>
        <v/>
      </c>
      <c r="O1697" s="33" t="str">
        <f t="shared" si="192"/>
        <v/>
      </c>
      <c r="P1697" t="str">
        <f t="shared" si="193"/>
        <v/>
      </c>
      <c r="Q1697" s="33" t="str">
        <f t="shared" si="194"/>
        <v/>
      </c>
      <c r="R1697" s="39" t="str">
        <f t="shared" si="195"/>
        <v/>
      </c>
    </row>
    <row r="1698" spans="6:18" x14ac:dyDescent="0.25">
      <c r="F1698" s="35">
        <v>1692</v>
      </c>
      <c r="L1698" s="33" t="str">
        <f t="shared" si="189"/>
        <v/>
      </c>
      <c r="M1698" t="str">
        <f t="shared" si="190"/>
        <v/>
      </c>
      <c r="N1698" s="33" t="str">
        <f t="shared" si="191"/>
        <v/>
      </c>
      <c r="O1698" s="33" t="str">
        <f t="shared" si="192"/>
        <v/>
      </c>
      <c r="P1698" t="str">
        <f t="shared" si="193"/>
        <v/>
      </c>
      <c r="Q1698" s="33" t="str">
        <f t="shared" si="194"/>
        <v/>
      </c>
      <c r="R1698" s="39" t="str">
        <f t="shared" si="195"/>
        <v/>
      </c>
    </row>
    <row r="1699" spans="6:18" x14ac:dyDescent="0.25">
      <c r="F1699" s="35">
        <v>1693</v>
      </c>
      <c r="L1699" s="33" t="str">
        <f t="shared" si="189"/>
        <v/>
      </c>
      <c r="M1699" t="str">
        <f t="shared" si="190"/>
        <v/>
      </c>
      <c r="N1699" s="33" t="str">
        <f t="shared" si="191"/>
        <v/>
      </c>
      <c r="O1699" s="33" t="str">
        <f t="shared" si="192"/>
        <v/>
      </c>
      <c r="P1699" t="str">
        <f t="shared" si="193"/>
        <v/>
      </c>
      <c r="Q1699" s="33" t="str">
        <f t="shared" si="194"/>
        <v/>
      </c>
      <c r="R1699" s="39" t="str">
        <f t="shared" si="195"/>
        <v/>
      </c>
    </row>
    <row r="1700" spans="6:18" x14ac:dyDescent="0.25">
      <c r="F1700" s="35">
        <v>1694</v>
      </c>
      <c r="L1700" s="33" t="str">
        <f t="shared" si="189"/>
        <v/>
      </c>
      <c r="M1700" t="str">
        <f t="shared" si="190"/>
        <v/>
      </c>
      <c r="N1700" s="33" t="str">
        <f t="shared" si="191"/>
        <v/>
      </c>
      <c r="O1700" s="33" t="str">
        <f t="shared" si="192"/>
        <v/>
      </c>
      <c r="P1700" t="str">
        <f t="shared" si="193"/>
        <v/>
      </c>
      <c r="Q1700" s="33" t="str">
        <f t="shared" si="194"/>
        <v/>
      </c>
      <c r="R1700" s="39" t="str">
        <f t="shared" si="195"/>
        <v/>
      </c>
    </row>
    <row r="1701" spans="6:18" x14ac:dyDescent="0.25">
      <c r="F1701" s="35">
        <v>1695</v>
      </c>
      <c r="L1701" s="33" t="str">
        <f t="shared" si="189"/>
        <v/>
      </c>
      <c r="M1701" t="str">
        <f t="shared" si="190"/>
        <v/>
      </c>
      <c r="N1701" s="33" t="str">
        <f t="shared" si="191"/>
        <v/>
      </c>
      <c r="O1701" s="33" t="str">
        <f t="shared" si="192"/>
        <v/>
      </c>
      <c r="P1701" t="str">
        <f t="shared" si="193"/>
        <v/>
      </c>
      <c r="Q1701" s="33" t="str">
        <f t="shared" si="194"/>
        <v/>
      </c>
      <c r="R1701" s="39" t="str">
        <f t="shared" si="195"/>
        <v/>
      </c>
    </row>
    <row r="1702" spans="6:18" x14ac:dyDescent="0.25">
      <c r="F1702" s="35">
        <v>1696</v>
      </c>
      <c r="L1702" s="33" t="str">
        <f t="shared" si="189"/>
        <v/>
      </c>
      <c r="M1702" t="str">
        <f t="shared" si="190"/>
        <v/>
      </c>
      <c r="N1702" s="33" t="str">
        <f t="shared" si="191"/>
        <v/>
      </c>
      <c r="O1702" s="33" t="str">
        <f t="shared" si="192"/>
        <v/>
      </c>
      <c r="P1702" t="str">
        <f t="shared" si="193"/>
        <v/>
      </c>
      <c r="Q1702" s="33" t="str">
        <f t="shared" si="194"/>
        <v/>
      </c>
      <c r="R1702" s="39" t="str">
        <f t="shared" si="195"/>
        <v/>
      </c>
    </row>
    <row r="1703" spans="6:18" x14ac:dyDescent="0.25">
      <c r="F1703" s="35">
        <v>1697</v>
      </c>
      <c r="L1703" s="33" t="str">
        <f t="shared" si="189"/>
        <v/>
      </c>
      <c r="M1703" t="str">
        <f t="shared" si="190"/>
        <v/>
      </c>
      <c r="N1703" s="33" t="str">
        <f t="shared" si="191"/>
        <v/>
      </c>
      <c r="O1703" s="33" t="str">
        <f t="shared" si="192"/>
        <v/>
      </c>
      <c r="P1703" t="str">
        <f t="shared" si="193"/>
        <v/>
      </c>
      <c r="Q1703" s="33" t="str">
        <f t="shared" si="194"/>
        <v/>
      </c>
      <c r="R1703" s="39" t="str">
        <f t="shared" si="195"/>
        <v/>
      </c>
    </row>
    <row r="1704" spans="6:18" x14ac:dyDescent="0.25">
      <c r="F1704" s="35">
        <v>1698</v>
      </c>
      <c r="L1704" s="33" t="str">
        <f t="shared" si="189"/>
        <v/>
      </c>
      <c r="M1704" t="str">
        <f t="shared" si="190"/>
        <v/>
      </c>
      <c r="N1704" s="33" t="str">
        <f t="shared" si="191"/>
        <v/>
      </c>
      <c r="O1704" s="33" t="str">
        <f t="shared" si="192"/>
        <v/>
      </c>
      <c r="P1704" t="str">
        <f t="shared" si="193"/>
        <v/>
      </c>
      <c r="Q1704" s="33" t="str">
        <f t="shared" si="194"/>
        <v/>
      </c>
      <c r="R1704" s="39" t="str">
        <f t="shared" si="195"/>
        <v/>
      </c>
    </row>
    <row r="1705" spans="6:18" x14ac:dyDescent="0.25">
      <c r="F1705" s="35">
        <v>1699</v>
      </c>
      <c r="L1705" s="33" t="str">
        <f t="shared" si="189"/>
        <v/>
      </c>
      <c r="M1705" t="str">
        <f t="shared" si="190"/>
        <v/>
      </c>
      <c r="N1705" s="33" t="str">
        <f t="shared" si="191"/>
        <v/>
      </c>
      <c r="O1705" s="33" t="str">
        <f t="shared" si="192"/>
        <v/>
      </c>
      <c r="P1705" t="str">
        <f t="shared" si="193"/>
        <v/>
      </c>
      <c r="Q1705" s="33" t="str">
        <f t="shared" si="194"/>
        <v/>
      </c>
      <c r="R1705" s="39" t="str">
        <f t="shared" si="195"/>
        <v/>
      </c>
    </row>
    <row r="1706" spans="6:18" x14ac:dyDescent="0.25">
      <c r="F1706" s="35">
        <v>1700</v>
      </c>
      <c r="L1706" s="33" t="str">
        <f t="shared" si="189"/>
        <v/>
      </c>
      <c r="M1706" t="str">
        <f t="shared" si="190"/>
        <v/>
      </c>
      <c r="N1706" s="33" t="str">
        <f t="shared" si="191"/>
        <v/>
      </c>
      <c r="O1706" s="33" t="str">
        <f t="shared" si="192"/>
        <v/>
      </c>
      <c r="P1706" t="str">
        <f t="shared" si="193"/>
        <v/>
      </c>
      <c r="Q1706" s="33" t="str">
        <f t="shared" si="194"/>
        <v/>
      </c>
      <c r="R1706" s="39" t="str">
        <f t="shared" si="195"/>
        <v/>
      </c>
    </row>
    <row r="1707" spans="6:18" x14ac:dyDescent="0.25">
      <c r="F1707" s="35">
        <v>1701</v>
      </c>
      <c r="L1707" s="33" t="str">
        <f t="shared" si="189"/>
        <v/>
      </c>
      <c r="M1707" t="str">
        <f t="shared" si="190"/>
        <v/>
      </c>
      <c r="N1707" s="33" t="str">
        <f t="shared" si="191"/>
        <v/>
      </c>
      <c r="O1707" s="33" t="str">
        <f t="shared" si="192"/>
        <v/>
      </c>
      <c r="P1707" t="str">
        <f t="shared" si="193"/>
        <v/>
      </c>
      <c r="Q1707" s="33" t="str">
        <f t="shared" si="194"/>
        <v/>
      </c>
      <c r="R1707" s="39" t="str">
        <f t="shared" si="195"/>
        <v/>
      </c>
    </row>
    <row r="1708" spans="6:18" x14ac:dyDescent="0.25">
      <c r="F1708" s="35">
        <v>1702</v>
      </c>
      <c r="L1708" s="33" t="str">
        <f t="shared" si="189"/>
        <v/>
      </c>
      <c r="M1708" t="str">
        <f t="shared" si="190"/>
        <v/>
      </c>
      <c r="N1708" s="33" t="str">
        <f t="shared" si="191"/>
        <v/>
      </c>
      <c r="O1708" s="33" t="str">
        <f t="shared" si="192"/>
        <v/>
      </c>
      <c r="P1708" t="str">
        <f t="shared" si="193"/>
        <v/>
      </c>
      <c r="Q1708" s="33" t="str">
        <f t="shared" si="194"/>
        <v/>
      </c>
      <c r="R1708" s="39" t="str">
        <f t="shared" si="195"/>
        <v/>
      </c>
    </row>
    <row r="1709" spans="6:18" x14ac:dyDescent="0.25">
      <c r="F1709" s="35">
        <v>1703</v>
      </c>
      <c r="L1709" s="33" t="str">
        <f t="shared" si="189"/>
        <v/>
      </c>
      <c r="M1709" t="str">
        <f t="shared" si="190"/>
        <v/>
      </c>
      <c r="N1709" s="33" t="str">
        <f t="shared" si="191"/>
        <v/>
      </c>
      <c r="O1709" s="33" t="str">
        <f t="shared" si="192"/>
        <v/>
      </c>
      <c r="P1709" t="str">
        <f t="shared" si="193"/>
        <v/>
      </c>
      <c r="Q1709" s="33" t="str">
        <f t="shared" si="194"/>
        <v/>
      </c>
      <c r="R1709" s="39" t="str">
        <f t="shared" si="195"/>
        <v/>
      </c>
    </row>
    <row r="1710" spans="6:18" x14ac:dyDescent="0.25">
      <c r="F1710" s="35">
        <v>1704</v>
      </c>
      <c r="L1710" s="33" t="str">
        <f t="shared" si="189"/>
        <v/>
      </c>
      <c r="M1710" t="str">
        <f t="shared" si="190"/>
        <v/>
      </c>
      <c r="N1710" s="33" t="str">
        <f t="shared" si="191"/>
        <v/>
      </c>
      <c r="O1710" s="33" t="str">
        <f t="shared" si="192"/>
        <v/>
      </c>
      <c r="P1710" t="str">
        <f t="shared" si="193"/>
        <v/>
      </c>
      <c r="Q1710" s="33" t="str">
        <f t="shared" si="194"/>
        <v/>
      </c>
      <c r="R1710" s="39" t="str">
        <f t="shared" si="195"/>
        <v/>
      </c>
    </row>
    <row r="1711" spans="6:18" x14ac:dyDescent="0.25">
      <c r="F1711" s="35">
        <v>1705</v>
      </c>
      <c r="L1711" s="33" t="str">
        <f t="shared" si="189"/>
        <v/>
      </c>
      <c r="M1711" t="str">
        <f t="shared" si="190"/>
        <v/>
      </c>
      <c r="N1711" s="33" t="str">
        <f t="shared" si="191"/>
        <v/>
      </c>
      <c r="O1711" s="33" t="str">
        <f t="shared" si="192"/>
        <v/>
      </c>
      <c r="P1711" t="str">
        <f t="shared" si="193"/>
        <v/>
      </c>
      <c r="Q1711" s="33" t="str">
        <f t="shared" si="194"/>
        <v/>
      </c>
      <c r="R1711" s="39" t="str">
        <f t="shared" si="195"/>
        <v/>
      </c>
    </row>
    <row r="1712" spans="6:18" x14ac:dyDescent="0.25">
      <c r="F1712" s="35">
        <v>1706</v>
      </c>
      <c r="L1712" s="33" t="str">
        <f t="shared" si="189"/>
        <v/>
      </c>
      <c r="M1712" t="str">
        <f t="shared" si="190"/>
        <v/>
      </c>
      <c r="N1712" s="33" t="str">
        <f t="shared" si="191"/>
        <v/>
      </c>
      <c r="O1712" s="33" t="str">
        <f t="shared" si="192"/>
        <v/>
      </c>
      <c r="P1712" t="str">
        <f t="shared" si="193"/>
        <v/>
      </c>
      <c r="Q1712" s="33" t="str">
        <f t="shared" si="194"/>
        <v/>
      </c>
      <c r="R1712" s="39" t="str">
        <f t="shared" si="195"/>
        <v/>
      </c>
    </row>
    <row r="1713" spans="6:18" x14ac:dyDescent="0.25">
      <c r="F1713" s="35">
        <v>1707</v>
      </c>
      <c r="L1713" s="33" t="str">
        <f t="shared" si="189"/>
        <v/>
      </c>
      <c r="M1713" t="str">
        <f t="shared" si="190"/>
        <v/>
      </c>
      <c r="N1713" s="33" t="str">
        <f t="shared" si="191"/>
        <v/>
      </c>
      <c r="O1713" s="33" t="str">
        <f t="shared" si="192"/>
        <v/>
      </c>
      <c r="P1713" t="str">
        <f t="shared" si="193"/>
        <v/>
      </c>
      <c r="Q1713" s="33" t="str">
        <f t="shared" si="194"/>
        <v/>
      </c>
      <c r="R1713" s="39" t="str">
        <f t="shared" si="195"/>
        <v/>
      </c>
    </row>
    <row r="1714" spans="6:18" x14ac:dyDescent="0.25">
      <c r="F1714" s="35">
        <v>1708</v>
      </c>
      <c r="L1714" s="33" t="str">
        <f t="shared" si="189"/>
        <v/>
      </c>
      <c r="M1714" t="str">
        <f t="shared" si="190"/>
        <v/>
      </c>
      <c r="N1714" s="33" t="str">
        <f t="shared" si="191"/>
        <v/>
      </c>
      <c r="O1714" s="33" t="str">
        <f t="shared" si="192"/>
        <v/>
      </c>
      <c r="P1714" t="str">
        <f t="shared" si="193"/>
        <v/>
      </c>
      <c r="Q1714" s="33" t="str">
        <f t="shared" si="194"/>
        <v/>
      </c>
      <c r="R1714" s="39" t="str">
        <f t="shared" si="195"/>
        <v/>
      </c>
    </row>
    <row r="1715" spans="6:18" x14ac:dyDescent="0.25">
      <c r="F1715" s="35">
        <v>1709</v>
      </c>
      <c r="L1715" s="33" t="str">
        <f t="shared" si="189"/>
        <v/>
      </c>
      <c r="M1715" t="str">
        <f t="shared" si="190"/>
        <v/>
      </c>
      <c r="N1715" s="33" t="str">
        <f t="shared" si="191"/>
        <v/>
      </c>
      <c r="O1715" s="33" t="str">
        <f t="shared" si="192"/>
        <v/>
      </c>
      <c r="P1715" t="str">
        <f t="shared" si="193"/>
        <v/>
      </c>
      <c r="Q1715" s="33" t="str">
        <f t="shared" si="194"/>
        <v/>
      </c>
      <c r="R1715" s="39" t="str">
        <f t="shared" si="195"/>
        <v/>
      </c>
    </row>
    <row r="1716" spans="6:18" x14ac:dyDescent="0.25">
      <c r="F1716" s="35">
        <v>1710</v>
      </c>
      <c r="L1716" s="33" t="str">
        <f t="shared" si="189"/>
        <v/>
      </c>
      <c r="M1716" t="str">
        <f t="shared" si="190"/>
        <v/>
      </c>
      <c r="N1716" s="33" t="str">
        <f t="shared" si="191"/>
        <v/>
      </c>
      <c r="O1716" s="33" t="str">
        <f t="shared" si="192"/>
        <v/>
      </c>
      <c r="P1716" t="str">
        <f t="shared" si="193"/>
        <v/>
      </c>
      <c r="Q1716" s="33" t="str">
        <f t="shared" si="194"/>
        <v/>
      </c>
      <c r="R1716" s="39" t="str">
        <f t="shared" si="195"/>
        <v/>
      </c>
    </row>
    <row r="1717" spans="6:18" x14ac:dyDescent="0.25">
      <c r="F1717" s="35">
        <v>1711</v>
      </c>
      <c r="L1717" s="33" t="str">
        <f t="shared" si="189"/>
        <v/>
      </c>
      <c r="M1717" t="str">
        <f t="shared" si="190"/>
        <v/>
      </c>
      <c r="N1717" s="33" t="str">
        <f t="shared" si="191"/>
        <v/>
      </c>
      <c r="O1717" s="33" t="str">
        <f t="shared" si="192"/>
        <v/>
      </c>
      <c r="P1717" t="str">
        <f t="shared" si="193"/>
        <v/>
      </c>
      <c r="Q1717" s="33" t="str">
        <f t="shared" si="194"/>
        <v/>
      </c>
      <c r="R1717" s="39" t="str">
        <f t="shared" si="195"/>
        <v/>
      </c>
    </row>
    <row r="1718" spans="6:18" x14ac:dyDescent="0.25">
      <c r="F1718" s="35">
        <v>1712</v>
      </c>
      <c r="L1718" s="33" t="str">
        <f t="shared" si="189"/>
        <v/>
      </c>
      <c r="M1718" t="str">
        <f t="shared" si="190"/>
        <v/>
      </c>
      <c r="N1718" s="33" t="str">
        <f t="shared" si="191"/>
        <v/>
      </c>
      <c r="O1718" s="33" t="str">
        <f t="shared" si="192"/>
        <v/>
      </c>
      <c r="P1718" t="str">
        <f t="shared" si="193"/>
        <v/>
      </c>
      <c r="Q1718" s="33" t="str">
        <f t="shared" si="194"/>
        <v/>
      </c>
      <c r="R1718" s="39" t="str">
        <f t="shared" si="195"/>
        <v/>
      </c>
    </row>
    <row r="1719" spans="6:18" x14ac:dyDescent="0.25">
      <c r="F1719" s="35">
        <v>1713</v>
      </c>
      <c r="L1719" s="33" t="str">
        <f t="shared" si="189"/>
        <v/>
      </c>
      <c r="M1719" t="str">
        <f t="shared" si="190"/>
        <v/>
      </c>
      <c r="N1719" s="33" t="str">
        <f t="shared" si="191"/>
        <v/>
      </c>
      <c r="O1719" s="33" t="str">
        <f t="shared" si="192"/>
        <v/>
      </c>
      <c r="P1719" t="str">
        <f t="shared" si="193"/>
        <v/>
      </c>
      <c r="Q1719" s="33" t="str">
        <f t="shared" si="194"/>
        <v/>
      </c>
      <c r="R1719" s="39" t="str">
        <f t="shared" si="195"/>
        <v/>
      </c>
    </row>
    <row r="1720" spans="6:18" x14ac:dyDescent="0.25">
      <c r="F1720" s="35">
        <v>1714</v>
      </c>
      <c r="L1720" s="33" t="str">
        <f t="shared" si="189"/>
        <v/>
      </c>
      <c r="M1720" t="str">
        <f t="shared" si="190"/>
        <v/>
      </c>
      <c r="N1720" s="33" t="str">
        <f t="shared" si="191"/>
        <v/>
      </c>
      <c r="O1720" s="33" t="str">
        <f t="shared" si="192"/>
        <v/>
      </c>
      <c r="P1720" t="str">
        <f t="shared" si="193"/>
        <v/>
      </c>
      <c r="Q1720" s="33" t="str">
        <f t="shared" si="194"/>
        <v/>
      </c>
      <c r="R1720" s="39" t="str">
        <f t="shared" si="195"/>
        <v/>
      </c>
    </row>
    <row r="1721" spans="6:18" x14ac:dyDescent="0.25">
      <c r="F1721" s="35">
        <v>1715</v>
      </c>
      <c r="L1721" s="33" t="str">
        <f t="shared" si="189"/>
        <v/>
      </c>
      <c r="M1721" t="str">
        <f t="shared" si="190"/>
        <v/>
      </c>
      <c r="N1721" s="33" t="str">
        <f t="shared" si="191"/>
        <v/>
      </c>
      <c r="O1721" s="33" t="str">
        <f t="shared" si="192"/>
        <v/>
      </c>
      <c r="P1721" t="str">
        <f t="shared" si="193"/>
        <v/>
      </c>
      <c r="Q1721" s="33" t="str">
        <f t="shared" si="194"/>
        <v/>
      </c>
      <c r="R1721" s="39" t="str">
        <f t="shared" si="195"/>
        <v/>
      </c>
    </row>
    <row r="1722" spans="6:18" x14ac:dyDescent="0.25">
      <c r="F1722" s="35">
        <v>1716</v>
      </c>
      <c r="L1722" s="33" t="str">
        <f t="shared" si="189"/>
        <v/>
      </c>
      <c r="M1722" t="str">
        <f t="shared" si="190"/>
        <v/>
      </c>
      <c r="N1722" s="33" t="str">
        <f t="shared" si="191"/>
        <v/>
      </c>
      <c r="O1722" s="33" t="str">
        <f t="shared" si="192"/>
        <v/>
      </c>
      <c r="P1722" t="str">
        <f t="shared" si="193"/>
        <v/>
      </c>
      <c r="Q1722" s="33" t="str">
        <f t="shared" si="194"/>
        <v/>
      </c>
      <c r="R1722" s="39" t="str">
        <f t="shared" si="195"/>
        <v/>
      </c>
    </row>
    <row r="1723" spans="6:18" x14ac:dyDescent="0.25">
      <c r="F1723" s="35">
        <v>1717</v>
      </c>
      <c r="L1723" s="33" t="str">
        <f t="shared" si="189"/>
        <v/>
      </c>
      <c r="M1723" t="str">
        <f t="shared" si="190"/>
        <v/>
      </c>
      <c r="N1723" s="33" t="str">
        <f t="shared" si="191"/>
        <v/>
      </c>
      <c r="O1723" s="33" t="str">
        <f t="shared" si="192"/>
        <v/>
      </c>
      <c r="P1723" t="str">
        <f t="shared" si="193"/>
        <v/>
      </c>
      <c r="Q1723" s="33" t="str">
        <f t="shared" si="194"/>
        <v/>
      </c>
      <c r="R1723" s="39" t="str">
        <f t="shared" si="195"/>
        <v/>
      </c>
    </row>
    <row r="1724" spans="6:18" x14ac:dyDescent="0.25">
      <c r="F1724" s="35">
        <v>1718</v>
      </c>
      <c r="L1724" s="33" t="str">
        <f t="shared" si="189"/>
        <v/>
      </c>
      <c r="M1724" t="str">
        <f t="shared" si="190"/>
        <v/>
      </c>
      <c r="N1724" s="33" t="str">
        <f t="shared" si="191"/>
        <v/>
      </c>
      <c r="O1724" s="33" t="str">
        <f t="shared" si="192"/>
        <v/>
      </c>
      <c r="P1724" t="str">
        <f t="shared" si="193"/>
        <v/>
      </c>
      <c r="Q1724" s="33" t="str">
        <f t="shared" si="194"/>
        <v/>
      </c>
      <c r="R1724" s="39" t="str">
        <f t="shared" si="195"/>
        <v/>
      </c>
    </row>
    <row r="1725" spans="6:18" x14ac:dyDescent="0.25">
      <c r="F1725" s="35">
        <v>1719</v>
      </c>
      <c r="L1725" s="33" t="str">
        <f t="shared" si="189"/>
        <v/>
      </c>
      <c r="M1725" t="str">
        <f t="shared" si="190"/>
        <v/>
      </c>
      <c r="N1725" s="33" t="str">
        <f t="shared" si="191"/>
        <v/>
      </c>
      <c r="O1725" s="33" t="str">
        <f t="shared" si="192"/>
        <v/>
      </c>
      <c r="P1725" t="str">
        <f t="shared" si="193"/>
        <v/>
      </c>
      <c r="Q1725" s="33" t="str">
        <f t="shared" si="194"/>
        <v/>
      </c>
      <c r="R1725" s="39" t="str">
        <f t="shared" si="195"/>
        <v/>
      </c>
    </row>
    <row r="1726" spans="6:18" x14ac:dyDescent="0.25">
      <c r="F1726" s="35">
        <v>1720</v>
      </c>
      <c r="L1726" s="33" t="str">
        <f t="shared" si="189"/>
        <v/>
      </c>
      <c r="M1726" t="str">
        <f t="shared" si="190"/>
        <v/>
      </c>
      <c r="N1726" s="33" t="str">
        <f t="shared" si="191"/>
        <v/>
      </c>
      <c r="O1726" s="33" t="str">
        <f t="shared" si="192"/>
        <v/>
      </c>
      <c r="P1726" t="str">
        <f t="shared" si="193"/>
        <v/>
      </c>
      <c r="Q1726" s="33" t="str">
        <f t="shared" si="194"/>
        <v/>
      </c>
      <c r="R1726" s="39" t="str">
        <f t="shared" si="195"/>
        <v/>
      </c>
    </row>
    <row r="1727" spans="6:18" x14ac:dyDescent="0.25">
      <c r="F1727" s="35">
        <v>1721</v>
      </c>
      <c r="L1727" s="33" t="str">
        <f t="shared" si="189"/>
        <v/>
      </c>
      <c r="M1727" t="str">
        <f t="shared" si="190"/>
        <v/>
      </c>
      <c r="N1727" s="33" t="str">
        <f t="shared" si="191"/>
        <v/>
      </c>
      <c r="O1727" s="33" t="str">
        <f t="shared" si="192"/>
        <v/>
      </c>
      <c r="P1727" t="str">
        <f t="shared" si="193"/>
        <v/>
      </c>
      <c r="Q1727" s="33" t="str">
        <f t="shared" si="194"/>
        <v/>
      </c>
      <c r="R1727" s="39" t="str">
        <f t="shared" si="195"/>
        <v/>
      </c>
    </row>
    <row r="1728" spans="6:18" x14ac:dyDescent="0.25">
      <c r="F1728" s="35">
        <v>1722</v>
      </c>
      <c r="L1728" s="33" t="str">
        <f t="shared" si="189"/>
        <v/>
      </c>
      <c r="M1728" t="str">
        <f t="shared" si="190"/>
        <v/>
      </c>
      <c r="N1728" s="33" t="str">
        <f t="shared" si="191"/>
        <v/>
      </c>
      <c r="O1728" s="33" t="str">
        <f t="shared" si="192"/>
        <v/>
      </c>
      <c r="P1728" t="str">
        <f t="shared" si="193"/>
        <v/>
      </c>
      <c r="Q1728" s="33" t="str">
        <f t="shared" si="194"/>
        <v/>
      </c>
      <c r="R1728" s="39" t="str">
        <f t="shared" si="195"/>
        <v/>
      </c>
    </row>
    <row r="1729" spans="6:18" x14ac:dyDescent="0.25">
      <c r="F1729" s="35">
        <v>1723</v>
      </c>
      <c r="L1729" s="33" t="str">
        <f t="shared" si="189"/>
        <v/>
      </c>
      <c r="M1729" t="str">
        <f t="shared" si="190"/>
        <v/>
      </c>
      <c r="N1729" s="33" t="str">
        <f t="shared" si="191"/>
        <v/>
      </c>
      <c r="O1729" s="33" t="str">
        <f t="shared" si="192"/>
        <v/>
      </c>
      <c r="P1729" t="str">
        <f t="shared" si="193"/>
        <v/>
      </c>
      <c r="Q1729" s="33" t="str">
        <f t="shared" si="194"/>
        <v/>
      </c>
      <c r="R1729" s="39" t="str">
        <f t="shared" si="195"/>
        <v/>
      </c>
    </row>
    <row r="1730" spans="6:18" x14ac:dyDescent="0.25">
      <c r="F1730" s="35">
        <v>1724</v>
      </c>
      <c r="L1730" s="33" t="str">
        <f t="shared" si="189"/>
        <v/>
      </c>
      <c r="M1730" t="str">
        <f t="shared" si="190"/>
        <v/>
      </c>
      <c r="N1730" s="33" t="str">
        <f t="shared" si="191"/>
        <v/>
      </c>
      <c r="O1730" s="33" t="str">
        <f t="shared" si="192"/>
        <v/>
      </c>
      <c r="P1730" t="str">
        <f t="shared" si="193"/>
        <v/>
      </c>
      <c r="Q1730" s="33" t="str">
        <f t="shared" si="194"/>
        <v/>
      </c>
      <c r="R1730" s="39" t="str">
        <f t="shared" si="195"/>
        <v/>
      </c>
    </row>
    <row r="1731" spans="6:18" x14ac:dyDescent="0.25">
      <c r="F1731" s="35">
        <v>1725</v>
      </c>
      <c r="L1731" s="33" t="str">
        <f t="shared" si="189"/>
        <v/>
      </c>
      <c r="M1731" t="str">
        <f t="shared" si="190"/>
        <v/>
      </c>
      <c r="N1731" s="33" t="str">
        <f t="shared" si="191"/>
        <v/>
      </c>
      <c r="O1731" s="33" t="str">
        <f t="shared" si="192"/>
        <v/>
      </c>
      <c r="P1731" t="str">
        <f t="shared" si="193"/>
        <v/>
      </c>
      <c r="Q1731" s="33" t="str">
        <f t="shared" si="194"/>
        <v/>
      </c>
      <c r="R1731" s="39" t="str">
        <f t="shared" si="195"/>
        <v/>
      </c>
    </row>
    <row r="1732" spans="6:18" x14ac:dyDescent="0.25">
      <c r="F1732" s="35">
        <v>1726</v>
      </c>
      <c r="L1732" s="33" t="str">
        <f t="shared" si="189"/>
        <v/>
      </c>
      <c r="M1732" t="str">
        <f t="shared" si="190"/>
        <v/>
      </c>
      <c r="N1732" s="33" t="str">
        <f t="shared" si="191"/>
        <v/>
      </c>
      <c r="O1732" s="33" t="str">
        <f t="shared" si="192"/>
        <v/>
      </c>
      <c r="P1732" t="str">
        <f t="shared" si="193"/>
        <v/>
      </c>
      <c r="Q1732" s="33" t="str">
        <f t="shared" si="194"/>
        <v/>
      </c>
      <c r="R1732" s="39" t="str">
        <f t="shared" si="195"/>
        <v/>
      </c>
    </row>
    <row r="1733" spans="6:18" x14ac:dyDescent="0.25">
      <c r="F1733" s="35">
        <v>1727</v>
      </c>
      <c r="L1733" s="33" t="str">
        <f t="shared" si="189"/>
        <v/>
      </c>
      <c r="M1733" t="str">
        <f t="shared" si="190"/>
        <v/>
      </c>
      <c r="N1733" s="33" t="str">
        <f t="shared" si="191"/>
        <v/>
      </c>
      <c r="O1733" s="33" t="str">
        <f t="shared" si="192"/>
        <v/>
      </c>
      <c r="P1733" t="str">
        <f t="shared" si="193"/>
        <v/>
      </c>
      <c r="Q1733" s="33" t="str">
        <f t="shared" si="194"/>
        <v/>
      </c>
      <c r="R1733" s="39" t="str">
        <f t="shared" si="195"/>
        <v/>
      </c>
    </row>
    <row r="1734" spans="6:18" x14ac:dyDescent="0.25">
      <c r="F1734" s="35">
        <v>1728</v>
      </c>
      <c r="L1734" s="33" t="str">
        <f t="shared" si="189"/>
        <v/>
      </c>
      <c r="M1734" t="str">
        <f t="shared" si="190"/>
        <v/>
      </c>
      <c r="N1734" s="33" t="str">
        <f t="shared" si="191"/>
        <v/>
      </c>
      <c r="O1734" s="33" t="str">
        <f t="shared" si="192"/>
        <v/>
      </c>
      <c r="P1734" t="str">
        <f t="shared" si="193"/>
        <v/>
      </c>
      <c r="Q1734" s="33" t="str">
        <f t="shared" si="194"/>
        <v/>
      </c>
      <c r="R1734" s="39" t="str">
        <f t="shared" si="195"/>
        <v/>
      </c>
    </row>
    <row r="1735" spans="6:18" x14ac:dyDescent="0.25">
      <c r="F1735" s="35">
        <v>1729</v>
      </c>
      <c r="L1735" s="33" t="str">
        <f t="shared" si="189"/>
        <v/>
      </c>
      <c r="M1735" t="str">
        <f t="shared" si="190"/>
        <v/>
      </c>
      <c r="N1735" s="33" t="str">
        <f t="shared" si="191"/>
        <v/>
      </c>
      <c r="O1735" s="33" t="str">
        <f t="shared" si="192"/>
        <v/>
      </c>
      <c r="P1735" t="str">
        <f t="shared" si="193"/>
        <v/>
      </c>
      <c r="Q1735" s="33" t="str">
        <f t="shared" si="194"/>
        <v/>
      </c>
      <c r="R1735" s="39" t="str">
        <f t="shared" si="195"/>
        <v/>
      </c>
    </row>
    <row r="1736" spans="6:18" x14ac:dyDescent="0.25">
      <c r="F1736" s="35">
        <v>1730</v>
      </c>
      <c r="L1736" s="33" t="str">
        <f t="shared" ref="L1736:L1799" si="196">IF(G1736="","",$C$4*$C$6*$C$7/360)</f>
        <v/>
      </c>
      <c r="M1736" t="str">
        <f t="shared" ref="M1736:M1799" si="197">IF(G1736="","",IF(H1736=$G$2,100,0))</f>
        <v/>
      </c>
      <c r="N1736" s="33" t="str">
        <f t="shared" ref="N1736:N1799" si="198">IF(G1736="","",L1736+M1736)</f>
        <v/>
      </c>
      <c r="O1736" s="33" t="str">
        <f t="shared" ref="O1736:O1799" si="199">IF(G1736="","",1/(1+$C$5*K1736/360)^(J1736/K1736))</f>
        <v/>
      </c>
      <c r="P1736" t="str">
        <f t="shared" ref="P1736:P1799" si="200">IF(G1736="","",H1736-$C$12)</f>
        <v/>
      </c>
      <c r="Q1736" s="33" t="str">
        <f t="shared" ref="Q1736:Q1799" si="201">IF(G1736="","",(P1736/K1736))</f>
        <v/>
      </c>
      <c r="R1736" s="39" t="str">
        <f t="shared" ref="R1736:R1799" si="202">IF(G1736="","",N1736*O1736)</f>
        <v/>
      </c>
    </row>
    <row r="1737" spans="6:18" x14ac:dyDescent="0.25">
      <c r="F1737" s="35">
        <v>1731</v>
      </c>
      <c r="L1737" s="33" t="str">
        <f t="shared" si="196"/>
        <v/>
      </c>
      <c r="M1737" t="str">
        <f t="shared" si="197"/>
        <v/>
      </c>
      <c r="N1737" s="33" t="str">
        <f t="shared" si="198"/>
        <v/>
      </c>
      <c r="O1737" s="33" t="str">
        <f t="shared" si="199"/>
        <v/>
      </c>
      <c r="P1737" t="str">
        <f t="shared" si="200"/>
        <v/>
      </c>
      <c r="Q1737" s="33" t="str">
        <f t="shared" si="201"/>
        <v/>
      </c>
      <c r="R1737" s="39" t="str">
        <f t="shared" si="202"/>
        <v/>
      </c>
    </row>
    <row r="1738" spans="6:18" x14ac:dyDescent="0.25">
      <c r="F1738" s="35">
        <v>1732</v>
      </c>
      <c r="L1738" s="33" t="str">
        <f t="shared" si="196"/>
        <v/>
      </c>
      <c r="M1738" t="str">
        <f t="shared" si="197"/>
        <v/>
      </c>
      <c r="N1738" s="33" t="str">
        <f t="shared" si="198"/>
        <v/>
      </c>
      <c r="O1738" s="33" t="str">
        <f t="shared" si="199"/>
        <v/>
      </c>
      <c r="P1738" t="str">
        <f t="shared" si="200"/>
        <v/>
      </c>
      <c r="Q1738" s="33" t="str">
        <f t="shared" si="201"/>
        <v/>
      </c>
      <c r="R1738" s="39" t="str">
        <f t="shared" si="202"/>
        <v/>
      </c>
    </row>
    <row r="1739" spans="6:18" x14ac:dyDescent="0.25">
      <c r="F1739" s="35">
        <v>1733</v>
      </c>
      <c r="L1739" s="33" t="str">
        <f t="shared" si="196"/>
        <v/>
      </c>
      <c r="M1739" t="str">
        <f t="shared" si="197"/>
        <v/>
      </c>
      <c r="N1739" s="33" t="str">
        <f t="shared" si="198"/>
        <v/>
      </c>
      <c r="O1739" s="33" t="str">
        <f t="shared" si="199"/>
        <v/>
      </c>
      <c r="P1739" t="str">
        <f t="shared" si="200"/>
        <v/>
      </c>
      <c r="Q1739" s="33" t="str">
        <f t="shared" si="201"/>
        <v/>
      </c>
      <c r="R1739" s="39" t="str">
        <f t="shared" si="202"/>
        <v/>
      </c>
    </row>
    <row r="1740" spans="6:18" x14ac:dyDescent="0.25">
      <c r="F1740" s="35">
        <v>1734</v>
      </c>
      <c r="L1740" s="33" t="str">
        <f t="shared" si="196"/>
        <v/>
      </c>
      <c r="M1740" t="str">
        <f t="shared" si="197"/>
        <v/>
      </c>
      <c r="N1740" s="33" t="str">
        <f t="shared" si="198"/>
        <v/>
      </c>
      <c r="O1740" s="33" t="str">
        <f t="shared" si="199"/>
        <v/>
      </c>
      <c r="P1740" t="str">
        <f t="shared" si="200"/>
        <v/>
      </c>
      <c r="Q1740" s="33" t="str">
        <f t="shared" si="201"/>
        <v/>
      </c>
      <c r="R1740" s="39" t="str">
        <f t="shared" si="202"/>
        <v/>
      </c>
    </row>
    <row r="1741" spans="6:18" x14ac:dyDescent="0.25">
      <c r="F1741" s="35">
        <v>1735</v>
      </c>
      <c r="L1741" s="33" t="str">
        <f t="shared" si="196"/>
        <v/>
      </c>
      <c r="M1741" t="str">
        <f t="shared" si="197"/>
        <v/>
      </c>
      <c r="N1741" s="33" t="str">
        <f t="shared" si="198"/>
        <v/>
      </c>
      <c r="O1741" s="33" t="str">
        <f t="shared" si="199"/>
        <v/>
      </c>
      <c r="P1741" t="str">
        <f t="shared" si="200"/>
        <v/>
      </c>
      <c r="Q1741" s="33" t="str">
        <f t="shared" si="201"/>
        <v/>
      </c>
      <c r="R1741" s="39" t="str">
        <f t="shared" si="202"/>
        <v/>
      </c>
    </row>
    <row r="1742" spans="6:18" x14ac:dyDescent="0.25">
      <c r="F1742" s="35">
        <v>1736</v>
      </c>
      <c r="L1742" s="33" t="str">
        <f t="shared" si="196"/>
        <v/>
      </c>
      <c r="M1742" t="str">
        <f t="shared" si="197"/>
        <v/>
      </c>
      <c r="N1742" s="33" t="str">
        <f t="shared" si="198"/>
        <v/>
      </c>
      <c r="O1742" s="33" t="str">
        <f t="shared" si="199"/>
        <v/>
      </c>
      <c r="P1742" t="str">
        <f t="shared" si="200"/>
        <v/>
      </c>
      <c r="Q1742" s="33" t="str">
        <f t="shared" si="201"/>
        <v/>
      </c>
      <c r="R1742" s="39" t="str">
        <f t="shared" si="202"/>
        <v/>
      </c>
    </row>
    <row r="1743" spans="6:18" x14ac:dyDescent="0.25">
      <c r="F1743" s="35">
        <v>1737</v>
      </c>
      <c r="L1743" s="33" t="str">
        <f t="shared" si="196"/>
        <v/>
      </c>
      <c r="M1743" t="str">
        <f t="shared" si="197"/>
        <v/>
      </c>
      <c r="N1743" s="33" t="str">
        <f t="shared" si="198"/>
        <v/>
      </c>
      <c r="O1743" s="33" t="str">
        <f t="shared" si="199"/>
        <v/>
      </c>
      <c r="P1743" t="str">
        <f t="shared" si="200"/>
        <v/>
      </c>
      <c r="Q1743" s="33" t="str">
        <f t="shared" si="201"/>
        <v/>
      </c>
      <c r="R1743" s="39" t="str">
        <f t="shared" si="202"/>
        <v/>
      </c>
    </row>
    <row r="1744" spans="6:18" x14ac:dyDescent="0.25">
      <c r="F1744" s="35">
        <v>1738</v>
      </c>
      <c r="L1744" s="33" t="str">
        <f t="shared" si="196"/>
        <v/>
      </c>
      <c r="M1744" t="str">
        <f t="shared" si="197"/>
        <v/>
      </c>
      <c r="N1744" s="33" t="str">
        <f t="shared" si="198"/>
        <v/>
      </c>
      <c r="O1744" s="33" t="str">
        <f t="shared" si="199"/>
        <v/>
      </c>
      <c r="P1744" t="str">
        <f t="shared" si="200"/>
        <v/>
      </c>
      <c r="Q1744" s="33" t="str">
        <f t="shared" si="201"/>
        <v/>
      </c>
      <c r="R1744" s="39" t="str">
        <f t="shared" si="202"/>
        <v/>
      </c>
    </row>
    <row r="1745" spans="6:18" x14ac:dyDescent="0.25">
      <c r="F1745" s="35">
        <v>1739</v>
      </c>
      <c r="L1745" s="33" t="str">
        <f t="shared" si="196"/>
        <v/>
      </c>
      <c r="M1745" t="str">
        <f t="shared" si="197"/>
        <v/>
      </c>
      <c r="N1745" s="33" t="str">
        <f t="shared" si="198"/>
        <v/>
      </c>
      <c r="O1745" s="33" t="str">
        <f t="shared" si="199"/>
        <v/>
      </c>
      <c r="P1745" t="str">
        <f t="shared" si="200"/>
        <v/>
      </c>
      <c r="Q1745" s="33" t="str">
        <f t="shared" si="201"/>
        <v/>
      </c>
      <c r="R1745" s="39" t="str">
        <f t="shared" si="202"/>
        <v/>
      </c>
    </row>
    <row r="1746" spans="6:18" x14ac:dyDescent="0.25">
      <c r="F1746" s="35">
        <v>1740</v>
      </c>
      <c r="L1746" s="33" t="str">
        <f t="shared" si="196"/>
        <v/>
      </c>
      <c r="M1746" t="str">
        <f t="shared" si="197"/>
        <v/>
      </c>
      <c r="N1746" s="33" t="str">
        <f t="shared" si="198"/>
        <v/>
      </c>
      <c r="O1746" s="33" t="str">
        <f t="shared" si="199"/>
        <v/>
      </c>
      <c r="P1746" t="str">
        <f t="shared" si="200"/>
        <v/>
      </c>
      <c r="Q1746" s="33" t="str">
        <f t="shared" si="201"/>
        <v/>
      </c>
      <c r="R1746" s="39" t="str">
        <f t="shared" si="202"/>
        <v/>
      </c>
    </row>
    <row r="1747" spans="6:18" x14ac:dyDescent="0.25">
      <c r="F1747" s="35">
        <v>1741</v>
      </c>
      <c r="L1747" s="33" t="str">
        <f t="shared" si="196"/>
        <v/>
      </c>
      <c r="M1747" t="str">
        <f t="shared" si="197"/>
        <v/>
      </c>
      <c r="N1747" s="33" t="str">
        <f t="shared" si="198"/>
        <v/>
      </c>
      <c r="O1747" s="33" t="str">
        <f t="shared" si="199"/>
        <v/>
      </c>
      <c r="P1747" t="str">
        <f t="shared" si="200"/>
        <v/>
      </c>
      <c r="Q1747" s="33" t="str">
        <f t="shared" si="201"/>
        <v/>
      </c>
      <c r="R1747" s="39" t="str">
        <f t="shared" si="202"/>
        <v/>
      </c>
    </row>
    <row r="1748" spans="6:18" x14ac:dyDescent="0.25">
      <c r="F1748" s="35">
        <v>1742</v>
      </c>
      <c r="L1748" s="33" t="str">
        <f t="shared" si="196"/>
        <v/>
      </c>
      <c r="M1748" t="str">
        <f t="shared" si="197"/>
        <v/>
      </c>
      <c r="N1748" s="33" t="str">
        <f t="shared" si="198"/>
        <v/>
      </c>
      <c r="O1748" s="33" t="str">
        <f t="shared" si="199"/>
        <v/>
      </c>
      <c r="P1748" t="str">
        <f t="shared" si="200"/>
        <v/>
      </c>
      <c r="Q1748" s="33" t="str">
        <f t="shared" si="201"/>
        <v/>
      </c>
      <c r="R1748" s="39" t="str">
        <f t="shared" si="202"/>
        <v/>
      </c>
    </row>
    <row r="1749" spans="6:18" x14ac:dyDescent="0.25">
      <c r="F1749" s="35">
        <v>1743</v>
      </c>
      <c r="L1749" s="33" t="str">
        <f t="shared" si="196"/>
        <v/>
      </c>
      <c r="M1749" t="str">
        <f t="shared" si="197"/>
        <v/>
      </c>
      <c r="N1749" s="33" t="str">
        <f t="shared" si="198"/>
        <v/>
      </c>
      <c r="O1749" s="33" t="str">
        <f t="shared" si="199"/>
        <v/>
      </c>
      <c r="P1749" t="str">
        <f t="shared" si="200"/>
        <v/>
      </c>
      <c r="Q1749" s="33" t="str">
        <f t="shared" si="201"/>
        <v/>
      </c>
      <c r="R1749" s="39" t="str">
        <f t="shared" si="202"/>
        <v/>
      </c>
    </row>
    <row r="1750" spans="6:18" x14ac:dyDescent="0.25">
      <c r="F1750" s="35">
        <v>1744</v>
      </c>
      <c r="L1750" s="33" t="str">
        <f t="shared" si="196"/>
        <v/>
      </c>
      <c r="M1750" t="str">
        <f t="shared" si="197"/>
        <v/>
      </c>
      <c r="N1750" s="33" t="str">
        <f t="shared" si="198"/>
        <v/>
      </c>
      <c r="O1750" s="33" t="str">
        <f t="shared" si="199"/>
        <v/>
      </c>
      <c r="P1750" t="str">
        <f t="shared" si="200"/>
        <v/>
      </c>
      <c r="Q1750" s="33" t="str">
        <f t="shared" si="201"/>
        <v/>
      </c>
      <c r="R1750" s="39" t="str">
        <f t="shared" si="202"/>
        <v/>
      </c>
    </row>
    <row r="1751" spans="6:18" x14ac:dyDescent="0.25">
      <c r="F1751" s="35">
        <v>1745</v>
      </c>
      <c r="L1751" s="33" t="str">
        <f t="shared" si="196"/>
        <v/>
      </c>
      <c r="M1751" t="str">
        <f t="shared" si="197"/>
        <v/>
      </c>
      <c r="N1751" s="33" t="str">
        <f t="shared" si="198"/>
        <v/>
      </c>
      <c r="O1751" s="33" t="str">
        <f t="shared" si="199"/>
        <v/>
      </c>
      <c r="P1751" t="str">
        <f t="shared" si="200"/>
        <v/>
      </c>
      <c r="Q1751" s="33" t="str">
        <f t="shared" si="201"/>
        <v/>
      </c>
      <c r="R1751" s="39" t="str">
        <f t="shared" si="202"/>
        <v/>
      </c>
    </row>
    <row r="1752" spans="6:18" x14ac:dyDescent="0.25">
      <c r="F1752" s="35">
        <v>1746</v>
      </c>
      <c r="L1752" s="33" t="str">
        <f t="shared" si="196"/>
        <v/>
      </c>
      <c r="M1752" t="str">
        <f t="shared" si="197"/>
        <v/>
      </c>
      <c r="N1752" s="33" t="str">
        <f t="shared" si="198"/>
        <v/>
      </c>
      <c r="O1752" s="33" t="str">
        <f t="shared" si="199"/>
        <v/>
      </c>
      <c r="P1752" t="str">
        <f t="shared" si="200"/>
        <v/>
      </c>
      <c r="Q1752" s="33" t="str">
        <f t="shared" si="201"/>
        <v/>
      </c>
      <c r="R1752" s="39" t="str">
        <f t="shared" si="202"/>
        <v/>
      </c>
    </row>
    <row r="1753" spans="6:18" x14ac:dyDescent="0.25">
      <c r="F1753" s="35">
        <v>1747</v>
      </c>
      <c r="L1753" s="33" t="str">
        <f t="shared" si="196"/>
        <v/>
      </c>
      <c r="M1753" t="str">
        <f t="shared" si="197"/>
        <v/>
      </c>
      <c r="N1753" s="33" t="str">
        <f t="shared" si="198"/>
        <v/>
      </c>
      <c r="O1753" s="33" t="str">
        <f t="shared" si="199"/>
        <v/>
      </c>
      <c r="P1753" t="str">
        <f t="shared" si="200"/>
        <v/>
      </c>
      <c r="Q1753" s="33" t="str">
        <f t="shared" si="201"/>
        <v/>
      </c>
      <c r="R1753" s="39" t="str">
        <f t="shared" si="202"/>
        <v/>
      </c>
    </row>
    <row r="1754" spans="6:18" x14ac:dyDescent="0.25">
      <c r="F1754" s="35">
        <v>1748</v>
      </c>
      <c r="L1754" s="33" t="str">
        <f t="shared" si="196"/>
        <v/>
      </c>
      <c r="M1754" t="str">
        <f t="shared" si="197"/>
        <v/>
      </c>
      <c r="N1754" s="33" t="str">
        <f t="shared" si="198"/>
        <v/>
      </c>
      <c r="O1754" s="33" t="str">
        <f t="shared" si="199"/>
        <v/>
      </c>
      <c r="P1754" t="str">
        <f t="shared" si="200"/>
        <v/>
      </c>
      <c r="Q1754" s="33" t="str">
        <f t="shared" si="201"/>
        <v/>
      </c>
      <c r="R1754" s="39" t="str">
        <f t="shared" si="202"/>
        <v/>
      </c>
    </row>
    <row r="1755" spans="6:18" x14ac:dyDescent="0.25">
      <c r="F1755" s="35">
        <v>1749</v>
      </c>
      <c r="L1755" s="33" t="str">
        <f t="shared" si="196"/>
        <v/>
      </c>
      <c r="M1755" t="str">
        <f t="shared" si="197"/>
        <v/>
      </c>
      <c r="N1755" s="33" t="str">
        <f t="shared" si="198"/>
        <v/>
      </c>
      <c r="O1755" s="33" t="str">
        <f t="shared" si="199"/>
        <v/>
      </c>
      <c r="P1755" t="str">
        <f t="shared" si="200"/>
        <v/>
      </c>
      <c r="Q1755" s="33" t="str">
        <f t="shared" si="201"/>
        <v/>
      </c>
      <c r="R1755" s="39" t="str">
        <f t="shared" si="202"/>
        <v/>
      </c>
    </row>
    <row r="1756" spans="6:18" x14ac:dyDescent="0.25">
      <c r="F1756" s="35">
        <v>1750</v>
      </c>
      <c r="L1756" s="33" t="str">
        <f t="shared" si="196"/>
        <v/>
      </c>
      <c r="M1756" t="str">
        <f t="shared" si="197"/>
        <v/>
      </c>
      <c r="N1756" s="33" t="str">
        <f t="shared" si="198"/>
        <v/>
      </c>
      <c r="O1756" s="33" t="str">
        <f t="shared" si="199"/>
        <v/>
      </c>
      <c r="P1756" t="str">
        <f t="shared" si="200"/>
        <v/>
      </c>
      <c r="Q1756" s="33" t="str">
        <f t="shared" si="201"/>
        <v/>
      </c>
      <c r="R1756" s="39" t="str">
        <f t="shared" si="202"/>
        <v/>
      </c>
    </row>
    <row r="1757" spans="6:18" x14ac:dyDescent="0.25">
      <c r="F1757" s="35">
        <v>1751</v>
      </c>
      <c r="L1757" s="33" t="str">
        <f t="shared" si="196"/>
        <v/>
      </c>
      <c r="M1757" t="str">
        <f t="shared" si="197"/>
        <v/>
      </c>
      <c r="N1757" s="33" t="str">
        <f t="shared" si="198"/>
        <v/>
      </c>
      <c r="O1757" s="33" t="str">
        <f t="shared" si="199"/>
        <v/>
      </c>
      <c r="P1757" t="str">
        <f t="shared" si="200"/>
        <v/>
      </c>
      <c r="Q1757" s="33" t="str">
        <f t="shared" si="201"/>
        <v/>
      </c>
      <c r="R1757" s="39" t="str">
        <f t="shared" si="202"/>
        <v/>
      </c>
    </row>
    <row r="1758" spans="6:18" x14ac:dyDescent="0.25">
      <c r="F1758" s="35">
        <v>1752</v>
      </c>
      <c r="L1758" s="33" t="str">
        <f t="shared" si="196"/>
        <v/>
      </c>
      <c r="M1758" t="str">
        <f t="shared" si="197"/>
        <v/>
      </c>
      <c r="N1758" s="33" t="str">
        <f t="shared" si="198"/>
        <v/>
      </c>
      <c r="O1758" s="33" t="str">
        <f t="shared" si="199"/>
        <v/>
      </c>
      <c r="P1758" t="str">
        <f t="shared" si="200"/>
        <v/>
      </c>
      <c r="Q1758" s="33" t="str">
        <f t="shared" si="201"/>
        <v/>
      </c>
      <c r="R1758" s="39" t="str">
        <f t="shared" si="202"/>
        <v/>
      </c>
    </row>
    <row r="1759" spans="6:18" x14ac:dyDescent="0.25">
      <c r="F1759" s="35">
        <v>1753</v>
      </c>
      <c r="L1759" s="33" t="str">
        <f t="shared" si="196"/>
        <v/>
      </c>
      <c r="M1759" t="str">
        <f t="shared" si="197"/>
        <v/>
      </c>
      <c r="N1759" s="33" t="str">
        <f t="shared" si="198"/>
        <v/>
      </c>
      <c r="O1759" s="33" t="str">
        <f t="shared" si="199"/>
        <v/>
      </c>
      <c r="P1759" t="str">
        <f t="shared" si="200"/>
        <v/>
      </c>
      <c r="Q1759" s="33" t="str">
        <f t="shared" si="201"/>
        <v/>
      </c>
      <c r="R1759" s="39" t="str">
        <f t="shared" si="202"/>
        <v/>
      </c>
    </row>
    <row r="1760" spans="6:18" x14ac:dyDescent="0.25">
      <c r="F1760" s="35">
        <v>1754</v>
      </c>
      <c r="L1760" s="33" t="str">
        <f t="shared" si="196"/>
        <v/>
      </c>
      <c r="M1760" t="str">
        <f t="shared" si="197"/>
        <v/>
      </c>
      <c r="N1760" s="33" t="str">
        <f t="shared" si="198"/>
        <v/>
      </c>
      <c r="O1760" s="33" t="str">
        <f t="shared" si="199"/>
        <v/>
      </c>
      <c r="P1760" t="str">
        <f t="shared" si="200"/>
        <v/>
      </c>
      <c r="Q1760" s="33" t="str">
        <f t="shared" si="201"/>
        <v/>
      </c>
      <c r="R1760" s="39" t="str">
        <f t="shared" si="202"/>
        <v/>
      </c>
    </row>
    <row r="1761" spans="6:18" x14ac:dyDescent="0.25">
      <c r="F1761" s="35">
        <v>1755</v>
      </c>
      <c r="L1761" s="33" t="str">
        <f t="shared" si="196"/>
        <v/>
      </c>
      <c r="M1761" t="str">
        <f t="shared" si="197"/>
        <v/>
      </c>
      <c r="N1761" s="33" t="str">
        <f t="shared" si="198"/>
        <v/>
      </c>
      <c r="O1761" s="33" t="str">
        <f t="shared" si="199"/>
        <v/>
      </c>
      <c r="P1761" t="str">
        <f t="shared" si="200"/>
        <v/>
      </c>
      <c r="Q1761" s="33" t="str">
        <f t="shared" si="201"/>
        <v/>
      </c>
      <c r="R1761" s="39" t="str">
        <f t="shared" si="202"/>
        <v/>
      </c>
    </row>
    <row r="1762" spans="6:18" x14ac:dyDescent="0.25">
      <c r="F1762" s="35">
        <v>1756</v>
      </c>
      <c r="L1762" s="33" t="str">
        <f t="shared" si="196"/>
        <v/>
      </c>
      <c r="M1762" t="str">
        <f t="shared" si="197"/>
        <v/>
      </c>
      <c r="N1762" s="33" t="str">
        <f t="shared" si="198"/>
        <v/>
      </c>
      <c r="O1762" s="33" t="str">
        <f t="shared" si="199"/>
        <v/>
      </c>
      <c r="P1762" t="str">
        <f t="shared" si="200"/>
        <v/>
      </c>
      <c r="Q1762" s="33" t="str">
        <f t="shared" si="201"/>
        <v/>
      </c>
      <c r="R1762" s="39" t="str">
        <f t="shared" si="202"/>
        <v/>
      </c>
    </row>
    <row r="1763" spans="6:18" x14ac:dyDescent="0.25">
      <c r="F1763" s="35">
        <v>1757</v>
      </c>
      <c r="L1763" s="33" t="str">
        <f t="shared" si="196"/>
        <v/>
      </c>
      <c r="M1763" t="str">
        <f t="shared" si="197"/>
        <v/>
      </c>
      <c r="N1763" s="33" t="str">
        <f t="shared" si="198"/>
        <v/>
      </c>
      <c r="O1763" s="33" t="str">
        <f t="shared" si="199"/>
        <v/>
      </c>
      <c r="P1763" t="str">
        <f t="shared" si="200"/>
        <v/>
      </c>
      <c r="Q1763" s="33" t="str">
        <f t="shared" si="201"/>
        <v/>
      </c>
      <c r="R1763" s="39" t="str">
        <f t="shared" si="202"/>
        <v/>
      </c>
    </row>
    <row r="1764" spans="6:18" x14ac:dyDescent="0.25">
      <c r="F1764" s="35">
        <v>1758</v>
      </c>
      <c r="L1764" s="33" t="str">
        <f t="shared" si="196"/>
        <v/>
      </c>
      <c r="M1764" t="str">
        <f t="shared" si="197"/>
        <v/>
      </c>
      <c r="N1764" s="33" t="str">
        <f t="shared" si="198"/>
        <v/>
      </c>
      <c r="O1764" s="33" t="str">
        <f t="shared" si="199"/>
        <v/>
      </c>
      <c r="P1764" t="str">
        <f t="shared" si="200"/>
        <v/>
      </c>
      <c r="Q1764" s="33" t="str">
        <f t="shared" si="201"/>
        <v/>
      </c>
      <c r="R1764" s="39" t="str">
        <f t="shared" si="202"/>
        <v/>
      </c>
    </row>
    <row r="1765" spans="6:18" x14ac:dyDescent="0.25">
      <c r="F1765" s="35">
        <v>1759</v>
      </c>
      <c r="L1765" s="33" t="str">
        <f t="shared" si="196"/>
        <v/>
      </c>
      <c r="M1765" t="str">
        <f t="shared" si="197"/>
        <v/>
      </c>
      <c r="N1765" s="33" t="str">
        <f t="shared" si="198"/>
        <v/>
      </c>
      <c r="O1765" s="33" t="str">
        <f t="shared" si="199"/>
        <v/>
      </c>
      <c r="P1765" t="str">
        <f t="shared" si="200"/>
        <v/>
      </c>
      <c r="Q1765" s="33" t="str">
        <f t="shared" si="201"/>
        <v/>
      </c>
      <c r="R1765" s="39" t="str">
        <f t="shared" si="202"/>
        <v/>
      </c>
    </row>
    <row r="1766" spans="6:18" x14ac:dyDescent="0.25">
      <c r="F1766" s="35">
        <v>1760</v>
      </c>
      <c r="L1766" s="33" t="str">
        <f t="shared" si="196"/>
        <v/>
      </c>
      <c r="M1766" t="str">
        <f t="shared" si="197"/>
        <v/>
      </c>
      <c r="N1766" s="33" t="str">
        <f t="shared" si="198"/>
        <v/>
      </c>
      <c r="O1766" s="33" t="str">
        <f t="shared" si="199"/>
        <v/>
      </c>
      <c r="P1766" t="str">
        <f t="shared" si="200"/>
        <v/>
      </c>
      <c r="Q1766" s="33" t="str">
        <f t="shared" si="201"/>
        <v/>
      </c>
      <c r="R1766" s="39" t="str">
        <f t="shared" si="202"/>
        <v/>
      </c>
    </row>
    <row r="1767" spans="6:18" x14ac:dyDescent="0.25">
      <c r="F1767" s="35">
        <v>1761</v>
      </c>
      <c r="L1767" s="33" t="str">
        <f t="shared" si="196"/>
        <v/>
      </c>
      <c r="M1767" t="str">
        <f t="shared" si="197"/>
        <v/>
      </c>
      <c r="N1767" s="33" t="str">
        <f t="shared" si="198"/>
        <v/>
      </c>
      <c r="O1767" s="33" t="str">
        <f t="shared" si="199"/>
        <v/>
      </c>
      <c r="P1767" t="str">
        <f t="shared" si="200"/>
        <v/>
      </c>
      <c r="Q1767" s="33" t="str">
        <f t="shared" si="201"/>
        <v/>
      </c>
      <c r="R1767" s="39" t="str">
        <f t="shared" si="202"/>
        <v/>
      </c>
    </row>
    <row r="1768" spans="6:18" x14ac:dyDescent="0.25">
      <c r="F1768" s="35">
        <v>1762</v>
      </c>
      <c r="L1768" s="33" t="str">
        <f t="shared" si="196"/>
        <v/>
      </c>
      <c r="M1768" t="str">
        <f t="shared" si="197"/>
        <v/>
      </c>
      <c r="N1768" s="33" t="str">
        <f t="shared" si="198"/>
        <v/>
      </c>
      <c r="O1768" s="33" t="str">
        <f t="shared" si="199"/>
        <v/>
      </c>
      <c r="P1768" t="str">
        <f t="shared" si="200"/>
        <v/>
      </c>
      <c r="Q1768" s="33" t="str">
        <f t="shared" si="201"/>
        <v/>
      </c>
      <c r="R1768" s="39" t="str">
        <f t="shared" si="202"/>
        <v/>
      </c>
    </row>
    <row r="1769" spans="6:18" x14ac:dyDescent="0.25">
      <c r="F1769" s="35">
        <v>1763</v>
      </c>
      <c r="L1769" s="33" t="str">
        <f t="shared" si="196"/>
        <v/>
      </c>
      <c r="M1769" t="str">
        <f t="shared" si="197"/>
        <v/>
      </c>
      <c r="N1769" s="33" t="str">
        <f t="shared" si="198"/>
        <v/>
      </c>
      <c r="O1769" s="33" t="str">
        <f t="shared" si="199"/>
        <v/>
      </c>
      <c r="P1769" t="str">
        <f t="shared" si="200"/>
        <v/>
      </c>
      <c r="Q1769" s="33" t="str">
        <f t="shared" si="201"/>
        <v/>
      </c>
      <c r="R1769" s="39" t="str">
        <f t="shared" si="202"/>
        <v/>
      </c>
    </row>
    <row r="1770" spans="6:18" x14ac:dyDescent="0.25">
      <c r="F1770" s="35">
        <v>1764</v>
      </c>
      <c r="L1770" s="33" t="str">
        <f t="shared" si="196"/>
        <v/>
      </c>
      <c r="M1770" t="str">
        <f t="shared" si="197"/>
        <v/>
      </c>
      <c r="N1770" s="33" t="str">
        <f t="shared" si="198"/>
        <v/>
      </c>
      <c r="O1770" s="33" t="str">
        <f t="shared" si="199"/>
        <v/>
      </c>
      <c r="P1770" t="str">
        <f t="shared" si="200"/>
        <v/>
      </c>
      <c r="Q1770" s="33" t="str">
        <f t="shared" si="201"/>
        <v/>
      </c>
      <c r="R1770" s="39" t="str">
        <f t="shared" si="202"/>
        <v/>
      </c>
    </row>
    <row r="1771" spans="6:18" x14ac:dyDescent="0.25">
      <c r="F1771" s="35">
        <v>1765</v>
      </c>
      <c r="L1771" s="33" t="str">
        <f t="shared" si="196"/>
        <v/>
      </c>
      <c r="M1771" t="str">
        <f t="shared" si="197"/>
        <v/>
      </c>
      <c r="N1771" s="33" t="str">
        <f t="shared" si="198"/>
        <v/>
      </c>
      <c r="O1771" s="33" t="str">
        <f t="shared" si="199"/>
        <v/>
      </c>
      <c r="P1771" t="str">
        <f t="shared" si="200"/>
        <v/>
      </c>
      <c r="Q1771" s="33" t="str">
        <f t="shared" si="201"/>
        <v/>
      </c>
      <c r="R1771" s="39" t="str">
        <f t="shared" si="202"/>
        <v/>
      </c>
    </row>
    <row r="1772" spans="6:18" x14ac:dyDescent="0.25">
      <c r="F1772" s="35">
        <v>1766</v>
      </c>
      <c r="L1772" s="33" t="str">
        <f t="shared" si="196"/>
        <v/>
      </c>
      <c r="M1772" t="str">
        <f t="shared" si="197"/>
        <v/>
      </c>
      <c r="N1772" s="33" t="str">
        <f t="shared" si="198"/>
        <v/>
      </c>
      <c r="O1772" s="33" t="str">
        <f t="shared" si="199"/>
        <v/>
      </c>
      <c r="P1772" t="str">
        <f t="shared" si="200"/>
        <v/>
      </c>
      <c r="Q1772" s="33" t="str">
        <f t="shared" si="201"/>
        <v/>
      </c>
      <c r="R1772" s="39" t="str">
        <f t="shared" si="202"/>
        <v/>
      </c>
    </row>
    <row r="1773" spans="6:18" x14ac:dyDescent="0.25">
      <c r="F1773" s="35">
        <v>1767</v>
      </c>
      <c r="L1773" s="33" t="str">
        <f t="shared" si="196"/>
        <v/>
      </c>
      <c r="M1773" t="str">
        <f t="shared" si="197"/>
        <v/>
      </c>
      <c r="N1773" s="33" t="str">
        <f t="shared" si="198"/>
        <v/>
      </c>
      <c r="O1773" s="33" t="str">
        <f t="shared" si="199"/>
        <v/>
      </c>
      <c r="P1773" t="str">
        <f t="shared" si="200"/>
        <v/>
      </c>
      <c r="Q1773" s="33" t="str">
        <f t="shared" si="201"/>
        <v/>
      </c>
      <c r="R1773" s="39" t="str">
        <f t="shared" si="202"/>
        <v/>
      </c>
    </row>
    <row r="1774" spans="6:18" x14ac:dyDescent="0.25">
      <c r="F1774" s="35">
        <v>1768</v>
      </c>
      <c r="L1774" s="33" t="str">
        <f t="shared" si="196"/>
        <v/>
      </c>
      <c r="M1774" t="str">
        <f t="shared" si="197"/>
        <v/>
      </c>
      <c r="N1774" s="33" t="str">
        <f t="shared" si="198"/>
        <v/>
      </c>
      <c r="O1774" s="33" t="str">
        <f t="shared" si="199"/>
        <v/>
      </c>
      <c r="P1774" t="str">
        <f t="shared" si="200"/>
        <v/>
      </c>
      <c r="Q1774" s="33" t="str">
        <f t="shared" si="201"/>
        <v/>
      </c>
      <c r="R1774" s="39" t="str">
        <f t="shared" si="202"/>
        <v/>
      </c>
    </row>
    <row r="1775" spans="6:18" x14ac:dyDescent="0.25">
      <c r="F1775" s="35">
        <v>1769</v>
      </c>
      <c r="L1775" s="33" t="str">
        <f t="shared" si="196"/>
        <v/>
      </c>
      <c r="M1775" t="str">
        <f t="shared" si="197"/>
        <v/>
      </c>
      <c r="N1775" s="33" t="str">
        <f t="shared" si="198"/>
        <v/>
      </c>
      <c r="O1775" s="33" t="str">
        <f t="shared" si="199"/>
        <v/>
      </c>
      <c r="P1775" t="str">
        <f t="shared" si="200"/>
        <v/>
      </c>
      <c r="Q1775" s="33" t="str">
        <f t="shared" si="201"/>
        <v/>
      </c>
      <c r="R1775" s="39" t="str">
        <f t="shared" si="202"/>
        <v/>
      </c>
    </row>
    <row r="1776" spans="6:18" x14ac:dyDescent="0.25">
      <c r="F1776" s="35">
        <v>1770</v>
      </c>
      <c r="L1776" s="33" t="str">
        <f t="shared" si="196"/>
        <v/>
      </c>
      <c r="M1776" t="str">
        <f t="shared" si="197"/>
        <v/>
      </c>
      <c r="N1776" s="33" t="str">
        <f t="shared" si="198"/>
        <v/>
      </c>
      <c r="O1776" s="33" t="str">
        <f t="shared" si="199"/>
        <v/>
      </c>
      <c r="P1776" t="str">
        <f t="shared" si="200"/>
        <v/>
      </c>
      <c r="Q1776" s="33" t="str">
        <f t="shared" si="201"/>
        <v/>
      </c>
      <c r="R1776" s="39" t="str">
        <f t="shared" si="202"/>
        <v/>
      </c>
    </row>
    <row r="1777" spans="6:18" x14ac:dyDescent="0.25">
      <c r="F1777" s="35">
        <v>1771</v>
      </c>
      <c r="L1777" s="33" t="str">
        <f t="shared" si="196"/>
        <v/>
      </c>
      <c r="M1777" t="str">
        <f t="shared" si="197"/>
        <v/>
      </c>
      <c r="N1777" s="33" t="str">
        <f t="shared" si="198"/>
        <v/>
      </c>
      <c r="O1777" s="33" t="str">
        <f t="shared" si="199"/>
        <v/>
      </c>
      <c r="P1777" t="str">
        <f t="shared" si="200"/>
        <v/>
      </c>
      <c r="Q1777" s="33" t="str">
        <f t="shared" si="201"/>
        <v/>
      </c>
      <c r="R1777" s="39" t="str">
        <f t="shared" si="202"/>
        <v/>
      </c>
    </row>
    <row r="1778" spans="6:18" x14ac:dyDescent="0.25">
      <c r="F1778" s="35">
        <v>1772</v>
      </c>
      <c r="L1778" s="33" t="str">
        <f t="shared" si="196"/>
        <v/>
      </c>
      <c r="M1778" t="str">
        <f t="shared" si="197"/>
        <v/>
      </c>
      <c r="N1778" s="33" t="str">
        <f t="shared" si="198"/>
        <v/>
      </c>
      <c r="O1778" s="33" t="str">
        <f t="shared" si="199"/>
        <v/>
      </c>
      <c r="P1778" t="str">
        <f t="shared" si="200"/>
        <v/>
      </c>
      <c r="Q1778" s="33" t="str">
        <f t="shared" si="201"/>
        <v/>
      </c>
      <c r="R1778" s="39" t="str">
        <f t="shared" si="202"/>
        <v/>
      </c>
    </row>
    <row r="1779" spans="6:18" x14ac:dyDescent="0.25">
      <c r="F1779" s="35">
        <v>1773</v>
      </c>
      <c r="L1779" s="33" t="str">
        <f t="shared" si="196"/>
        <v/>
      </c>
      <c r="M1779" t="str">
        <f t="shared" si="197"/>
        <v/>
      </c>
      <c r="N1779" s="33" t="str">
        <f t="shared" si="198"/>
        <v/>
      </c>
      <c r="O1779" s="33" t="str">
        <f t="shared" si="199"/>
        <v/>
      </c>
      <c r="P1779" t="str">
        <f t="shared" si="200"/>
        <v/>
      </c>
      <c r="Q1779" s="33" t="str">
        <f t="shared" si="201"/>
        <v/>
      </c>
      <c r="R1779" s="39" t="str">
        <f t="shared" si="202"/>
        <v/>
      </c>
    </row>
    <row r="1780" spans="6:18" x14ac:dyDescent="0.25">
      <c r="F1780" s="35">
        <v>1774</v>
      </c>
      <c r="L1780" s="33" t="str">
        <f t="shared" si="196"/>
        <v/>
      </c>
      <c r="M1780" t="str">
        <f t="shared" si="197"/>
        <v/>
      </c>
      <c r="N1780" s="33" t="str">
        <f t="shared" si="198"/>
        <v/>
      </c>
      <c r="O1780" s="33" t="str">
        <f t="shared" si="199"/>
        <v/>
      </c>
      <c r="P1780" t="str">
        <f t="shared" si="200"/>
        <v/>
      </c>
      <c r="Q1780" s="33" t="str">
        <f t="shared" si="201"/>
        <v/>
      </c>
      <c r="R1780" s="39" t="str">
        <f t="shared" si="202"/>
        <v/>
      </c>
    </row>
    <row r="1781" spans="6:18" x14ac:dyDescent="0.25">
      <c r="F1781" s="35">
        <v>1775</v>
      </c>
      <c r="L1781" s="33" t="str">
        <f t="shared" si="196"/>
        <v/>
      </c>
      <c r="M1781" t="str">
        <f t="shared" si="197"/>
        <v/>
      </c>
      <c r="N1781" s="33" t="str">
        <f t="shared" si="198"/>
        <v/>
      </c>
      <c r="O1781" s="33" t="str">
        <f t="shared" si="199"/>
        <v/>
      </c>
      <c r="P1781" t="str">
        <f t="shared" si="200"/>
        <v/>
      </c>
      <c r="Q1781" s="33" t="str">
        <f t="shared" si="201"/>
        <v/>
      </c>
      <c r="R1781" s="39" t="str">
        <f t="shared" si="202"/>
        <v/>
      </c>
    </row>
    <row r="1782" spans="6:18" x14ac:dyDescent="0.25">
      <c r="F1782" s="35">
        <v>1776</v>
      </c>
      <c r="L1782" s="33" t="str">
        <f t="shared" si="196"/>
        <v/>
      </c>
      <c r="M1782" t="str">
        <f t="shared" si="197"/>
        <v/>
      </c>
      <c r="N1782" s="33" t="str">
        <f t="shared" si="198"/>
        <v/>
      </c>
      <c r="O1782" s="33" t="str">
        <f t="shared" si="199"/>
        <v/>
      </c>
      <c r="P1782" t="str">
        <f t="shared" si="200"/>
        <v/>
      </c>
      <c r="Q1782" s="33" t="str">
        <f t="shared" si="201"/>
        <v/>
      </c>
      <c r="R1782" s="39" t="str">
        <f t="shared" si="202"/>
        <v/>
      </c>
    </row>
    <row r="1783" spans="6:18" x14ac:dyDescent="0.25">
      <c r="F1783" s="35">
        <v>1777</v>
      </c>
      <c r="L1783" s="33" t="str">
        <f t="shared" si="196"/>
        <v/>
      </c>
      <c r="M1783" t="str">
        <f t="shared" si="197"/>
        <v/>
      </c>
      <c r="N1783" s="33" t="str">
        <f t="shared" si="198"/>
        <v/>
      </c>
      <c r="O1783" s="33" t="str">
        <f t="shared" si="199"/>
        <v/>
      </c>
      <c r="P1783" t="str">
        <f t="shared" si="200"/>
        <v/>
      </c>
      <c r="Q1783" s="33" t="str">
        <f t="shared" si="201"/>
        <v/>
      </c>
      <c r="R1783" s="39" t="str">
        <f t="shared" si="202"/>
        <v/>
      </c>
    </row>
    <row r="1784" spans="6:18" x14ac:dyDescent="0.25">
      <c r="F1784" s="35">
        <v>1778</v>
      </c>
      <c r="L1784" s="33" t="str">
        <f t="shared" si="196"/>
        <v/>
      </c>
      <c r="M1784" t="str">
        <f t="shared" si="197"/>
        <v/>
      </c>
      <c r="N1784" s="33" t="str">
        <f t="shared" si="198"/>
        <v/>
      </c>
      <c r="O1784" s="33" t="str">
        <f t="shared" si="199"/>
        <v/>
      </c>
      <c r="P1784" t="str">
        <f t="shared" si="200"/>
        <v/>
      </c>
      <c r="Q1784" s="33" t="str">
        <f t="shared" si="201"/>
        <v/>
      </c>
      <c r="R1784" s="39" t="str">
        <f t="shared" si="202"/>
        <v/>
      </c>
    </row>
    <row r="1785" spans="6:18" x14ac:dyDescent="0.25">
      <c r="F1785" s="35">
        <v>1779</v>
      </c>
      <c r="L1785" s="33" t="str">
        <f t="shared" si="196"/>
        <v/>
      </c>
      <c r="M1785" t="str">
        <f t="shared" si="197"/>
        <v/>
      </c>
      <c r="N1785" s="33" t="str">
        <f t="shared" si="198"/>
        <v/>
      </c>
      <c r="O1785" s="33" t="str">
        <f t="shared" si="199"/>
        <v/>
      </c>
      <c r="P1785" t="str">
        <f t="shared" si="200"/>
        <v/>
      </c>
      <c r="Q1785" s="33" t="str">
        <f t="shared" si="201"/>
        <v/>
      </c>
      <c r="R1785" s="39" t="str">
        <f t="shared" si="202"/>
        <v/>
      </c>
    </row>
    <row r="1786" spans="6:18" x14ac:dyDescent="0.25">
      <c r="F1786" s="35">
        <v>1780</v>
      </c>
      <c r="L1786" s="33" t="str">
        <f t="shared" si="196"/>
        <v/>
      </c>
      <c r="M1786" t="str">
        <f t="shared" si="197"/>
        <v/>
      </c>
      <c r="N1786" s="33" t="str">
        <f t="shared" si="198"/>
        <v/>
      </c>
      <c r="O1786" s="33" t="str">
        <f t="shared" si="199"/>
        <v/>
      </c>
      <c r="P1786" t="str">
        <f t="shared" si="200"/>
        <v/>
      </c>
      <c r="Q1786" s="33" t="str">
        <f t="shared" si="201"/>
        <v/>
      </c>
      <c r="R1786" s="39" t="str">
        <f t="shared" si="202"/>
        <v/>
      </c>
    </row>
    <row r="1787" spans="6:18" x14ac:dyDescent="0.25">
      <c r="F1787" s="35">
        <v>1781</v>
      </c>
      <c r="L1787" s="33" t="str">
        <f t="shared" si="196"/>
        <v/>
      </c>
      <c r="M1787" t="str">
        <f t="shared" si="197"/>
        <v/>
      </c>
      <c r="N1787" s="33" t="str">
        <f t="shared" si="198"/>
        <v/>
      </c>
      <c r="O1787" s="33" t="str">
        <f t="shared" si="199"/>
        <v/>
      </c>
      <c r="P1787" t="str">
        <f t="shared" si="200"/>
        <v/>
      </c>
      <c r="Q1787" s="33" t="str">
        <f t="shared" si="201"/>
        <v/>
      </c>
      <c r="R1787" s="39" t="str">
        <f t="shared" si="202"/>
        <v/>
      </c>
    </row>
    <row r="1788" spans="6:18" x14ac:dyDescent="0.25">
      <c r="F1788" s="35">
        <v>1782</v>
      </c>
      <c r="L1788" s="33" t="str">
        <f t="shared" si="196"/>
        <v/>
      </c>
      <c r="M1788" t="str">
        <f t="shared" si="197"/>
        <v/>
      </c>
      <c r="N1788" s="33" t="str">
        <f t="shared" si="198"/>
        <v/>
      </c>
      <c r="O1788" s="33" t="str">
        <f t="shared" si="199"/>
        <v/>
      </c>
      <c r="P1788" t="str">
        <f t="shared" si="200"/>
        <v/>
      </c>
      <c r="Q1788" s="33" t="str">
        <f t="shared" si="201"/>
        <v/>
      </c>
      <c r="R1788" s="39" t="str">
        <f t="shared" si="202"/>
        <v/>
      </c>
    </row>
    <row r="1789" spans="6:18" x14ac:dyDescent="0.25">
      <c r="F1789" s="35">
        <v>1783</v>
      </c>
      <c r="L1789" s="33" t="str">
        <f t="shared" si="196"/>
        <v/>
      </c>
      <c r="M1789" t="str">
        <f t="shared" si="197"/>
        <v/>
      </c>
      <c r="N1789" s="33" t="str">
        <f t="shared" si="198"/>
        <v/>
      </c>
      <c r="O1789" s="33" t="str">
        <f t="shared" si="199"/>
        <v/>
      </c>
      <c r="P1789" t="str">
        <f t="shared" si="200"/>
        <v/>
      </c>
      <c r="Q1789" s="33" t="str">
        <f t="shared" si="201"/>
        <v/>
      </c>
      <c r="R1789" s="39" t="str">
        <f t="shared" si="202"/>
        <v/>
      </c>
    </row>
    <row r="1790" spans="6:18" x14ac:dyDescent="0.25">
      <c r="F1790" s="35">
        <v>1784</v>
      </c>
      <c r="L1790" s="33" t="str">
        <f t="shared" si="196"/>
        <v/>
      </c>
      <c r="M1790" t="str">
        <f t="shared" si="197"/>
        <v/>
      </c>
      <c r="N1790" s="33" t="str">
        <f t="shared" si="198"/>
        <v/>
      </c>
      <c r="O1790" s="33" t="str">
        <f t="shared" si="199"/>
        <v/>
      </c>
      <c r="P1790" t="str">
        <f t="shared" si="200"/>
        <v/>
      </c>
      <c r="Q1790" s="33" t="str">
        <f t="shared" si="201"/>
        <v/>
      </c>
      <c r="R1790" s="39" t="str">
        <f t="shared" si="202"/>
        <v/>
      </c>
    </row>
    <row r="1791" spans="6:18" x14ac:dyDescent="0.25">
      <c r="F1791" s="35">
        <v>1785</v>
      </c>
      <c r="L1791" s="33" t="str">
        <f t="shared" si="196"/>
        <v/>
      </c>
      <c r="M1791" t="str">
        <f t="shared" si="197"/>
        <v/>
      </c>
      <c r="N1791" s="33" t="str">
        <f t="shared" si="198"/>
        <v/>
      </c>
      <c r="O1791" s="33" t="str">
        <f t="shared" si="199"/>
        <v/>
      </c>
      <c r="P1791" t="str">
        <f t="shared" si="200"/>
        <v/>
      </c>
      <c r="Q1791" s="33" t="str">
        <f t="shared" si="201"/>
        <v/>
      </c>
      <c r="R1791" s="39" t="str">
        <f t="shared" si="202"/>
        <v/>
      </c>
    </row>
    <row r="1792" spans="6:18" x14ac:dyDescent="0.25">
      <c r="F1792" s="35">
        <v>1786</v>
      </c>
      <c r="L1792" s="33" t="str">
        <f t="shared" si="196"/>
        <v/>
      </c>
      <c r="M1792" t="str">
        <f t="shared" si="197"/>
        <v/>
      </c>
      <c r="N1792" s="33" t="str">
        <f t="shared" si="198"/>
        <v/>
      </c>
      <c r="O1792" s="33" t="str">
        <f t="shared" si="199"/>
        <v/>
      </c>
      <c r="P1792" t="str">
        <f t="shared" si="200"/>
        <v/>
      </c>
      <c r="Q1792" s="33" t="str">
        <f t="shared" si="201"/>
        <v/>
      </c>
      <c r="R1792" s="39" t="str">
        <f t="shared" si="202"/>
        <v/>
      </c>
    </row>
    <row r="1793" spans="6:18" x14ac:dyDescent="0.25">
      <c r="F1793" s="35">
        <v>1787</v>
      </c>
      <c r="L1793" s="33" t="str">
        <f t="shared" si="196"/>
        <v/>
      </c>
      <c r="M1793" t="str">
        <f t="shared" si="197"/>
        <v/>
      </c>
      <c r="N1793" s="33" t="str">
        <f t="shared" si="198"/>
        <v/>
      </c>
      <c r="O1793" s="33" t="str">
        <f t="shared" si="199"/>
        <v/>
      </c>
      <c r="P1793" t="str">
        <f t="shared" si="200"/>
        <v/>
      </c>
      <c r="Q1793" s="33" t="str">
        <f t="shared" si="201"/>
        <v/>
      </c>
      <c r="R1793" s="39" t="str">
        <f t="shared" si="202"/>
        <v/>
      </c>
    </row>
    <row r="1794" spans="6:18" x14ac:dyDescent="0.25">
      <c r="F1794" s="35">
        <v>1788</v>
      </c>
      <c r="L1794" s="33" t="str">
        <f t="shared" si="196"/>
        <v/>
      </c>
      <c r="M1794" t="str">
        <f t="shared" si="197"/>
        <v/>
      </c>
      <c r="N1794" s="33" t="str">
        <f t="shared" si="198"/>
        <v/>
      </c>
      <c r="O1794" s="33" t="str">
        <f t="shared" si="199"/>
        <v/>
      </c>
      <c r="P1794" t="str">
        <f t="shared" si="200"/>
        <v/>
      </c>
      <c r="Q1794" s="33" t="str">
        <f t="shared" si="201"/>
        <v/>
      </c>
      <c r="R1794" s="39" t="str">
        <f t="shared" si="202"/>
        <v/>
      </c>
    </row>
    <row r="1795" spans="6:18" x14ac:dyDescent="0.25">
      <c r="F1795" s="35">
        <v>1789</v>
      </c>
      <c r="L1795" s="33" t="str">
        <f t="shared" si="196"/>
        <v/>
      </c>
      <c r="M1795" t="str">
        <f t="shared" si="197"/>
        <v/>
      </c>
      <c r="N1795" s="33" t="str">
        <f t="shared" si="198"/>
        <v/>
      </c>
      <c r="O1795" s="33" t="str">
        <f t="shared" si="199"/>
        <v/>
      </c>
      <c r="P1795" t="str">
        <f t="shared" si="200"/>
        <v/>
      </c>
      <c r="Q1795" s="33" t="str">
        <f t="shared" si="201"/>
        <v/>
      </c>
      <c r="R1795" s="39" t="str">
        <f t="shared" si="202"/>
        <v/>
      </c>
    </row>
    <row r="1796" spans="6:18" x14ac:dyDescent="0.25">
      <c r="F1796" s="35">
        <v>1790</v>
      </c>
      <c r="L1796" s="33" t="str">
        <f t="shared" si="196"/>
        <v/>
      </c>
      <c r="M1796" t="str">
        <f t="shared" si="197"/>
        <v/>
      </c>
      <c r="N1796" s="33" t="str">
        <f t="shared" si="198"/>
        <v/>
      </c>
      <c r="O1796" s="33" t="str">
        <f t="shared" si="199"/>
        <v/>
      </c>
      <c r="P1796" t="str">
        <f t="shared" si="200"/>
        <v/>
      </c>
      <c r="Q1796" s="33" t="str">
        <f t="shared" si="201"/>
        <v/>
      </c>
      <c r="R1796" s="39" t="str">
        <f t="shared" si="202"/>
        <v/>
      </c>
    </row>
    <row r="1797" spans="6:18" x14ac:dyDescent="0.25">
      <c r="F1797" s="35">
        <v>1791</v>
      </c>
      <c r="L1797" s="33" t="str">
        <f t="shared" si="196"/>
        <v/>
      </c>
      <c r="M1797" t="str">
        <f t="shared" si="197"/>
        <v/>
      </c>
      <c r="N1797" s="33" t="str">
        <f t="shared" si="198"/>
        <v/>
      </c>
      <c r="O1797" s="33" t="str">
        <f t="shared" si="199"/>
        <v/>
      </c>
      <c r="P1797" t="str">
        <f t="shared" si="200"/>
        <v/>
      </c>
      <c r="Q1797" s="33" t="str">
        <f t="shared" si="201"/>
        <v/>
      </c>
      <c r="R1797" s="39" t="str">
        <f t="shared" si="202"/>
        <v/>
      </c>
    </row>
    <row r="1798" spans="6:18" x14ac:dyDescent="0.25">
      <c r="F1798" s="35">
        <v>1792</v>
      </c>
      <c r="L1798" s="33" t="str">
        <f t="shared" si="196"/>
        <v/>
      </c>
      <c r="M1798" t="str">
        <f t="shared" si="197"/>
        <v/>
      </c>
      <c r="N1798" s="33" t="str">
        <f t="shared" si="198"/>
        <v/>
      </c>
      <c r="O1798" s="33" t="str">
        <f t="shared" si="199"/>
        <v/>
      </c>
      <c r="P1798" t="str">
        <f t="shared" si="200"/>
        <v/>
      </c>
      <c r="Q1798" s="33" t="str">
        <f t="shared" si="201"/>
        <v/>
      </c>
      <c r="R1798" s="39" t="str">
        <f t="shared" si="202"/>
        <v/>
      </c>
    </row>
    <row r="1799" spans="6:18" x14ac:dyDescent="0.25">
      <c r="F1799" s="35">
        <v>1793</v>
      </c>
      <c r="L1799" s="33" t="str">
        <f t="shared" si="196"/>
        <v/>
      </c>
      <c r="M1799" t="str">
        <f t="shared" si="197"/>
        <v/>
      </c>
      <c r="N1799" s="33" t="str">
        <f t="shared" si="198"/>
        <v/>
      </c>
      <c r="O1799" s="33" t="str">
        <f t="shared" si="199"/>
        <v/>
      </c>
      <c r="P1799" t="str">
        <f t="shared" si="200"/>
        <v/>
      </c>
      <c r="Q1799" s="33" t="str">
        <f t="shared" si="201"/>
        <v/>
      </c>
      <c r="R1799" s="39" t="str">
        <f t="shared" si="202"/>
        <v/>
      </c>
    </row>
    <row r="1800" spans="6:18" x14ac:dyDescent="0.25">
      <c r="F1800" s="35">
        <v>1794</v>
      </c>
      <c r="L1800" s="33" t="str">
        <f t="shared" ref="L1800:L1853" si="203">IF(G1800="","",$C$4*$C$6*$C$7/360)</f>
        <v/>
      </c>
      <c r="M1800" t="str">
        <f t="shared" ref="M1800:M1853" si="204">IF(G1800="","",IF(H1800=$G$2,100,0))</f>
        <v/>
      </c>
      <c r="N1800" s="33" t="str">
        <f t="shared" ref="N1800:N1853" si="205">IF(G1800="","",L1800+M1800)</f>
        <v/>
      </c>
      <c r="O1800" s="33" t="str">
        <f t="shared" ref="O1800:O1853" si="206">IF(G1800="","",1/(1+$C$5*K1800/360)^(J1800/K1800))</f>
        <v/>
      </c>
      <c r="P1800" t="str">
        <f t="shared" ref="P1800:P1853" si="207">IF(G1800="","",H1800-$C$12)</f>
        <v/>
      </c>
      <c r="Q1800" s="33" t="str">
        <f t="shared" ref="Q1800:Q1853" si="208">IF(G1800="","",(P1800/K1800))</f>
        <v/>
      </c>
      <c r="R1800" s="39" t="str">
        <f t="shared" ref="R1800:R1853" si="209">IF(G1800="","",N1800*O1800)</f>
        <v/>
      </c>
    </row>
    <row r="1801" spans="6:18" x14ac:dyDescent="0.25">
      <c r="F1801" s="35">
        <v>1795</v>
      </c>
      <c r="L1801" s="33" t="str">
        <f t="shared" si="203"/>
        <v/>
      </c>
      <c r="M1801" t="str">
        <f t="shared" si="204"/>
        <v/>
      </c>
      <c r="N1801" s="33" t="str">
        <f t="shared" si="205"/>
        <v/>
      </c>
      <c r="O1801" s="33" t="str">
        <f t="shared" si="206"/>
        <v/>
      </c>
      <c r="P1801" t="str">
        <f t="shared" si="207"/>
        <v/>
      </c>
      <c r="Q1801" s="33" t="str">
        <f t="shared" si="208"/>
        <v/>
      </c>
      <c r="R1801" s="39" t="str">
        <f t="shared" si="209"/>
        <v/>
      </c>
    </row>
    <row r="1802" spans="6:18" x14ac:dyDescent="0.25">
      <c r="F1802" s="35">
        <v>1796</v>
      </c>
      <c r="L1802" s="33" t="str">
        <f t="shared" si="203"/>
        <v/>
      </c>
      <c r="M1802" t="str">
        <f t="shared" si="204"/>
        <v/>
      </c>
      <c r="N1802" s="33" t="str">
        <f t="shared" si="205"/>
        <v/>
      </c>
      <c r="O1802" s="33" t="str">
        <f t="shared" si="206"/>
        <v/>
      </c>
      <c r="P1802" t="str">
        <f t="shared" si="207"/>
        <v/>
      </c>
      <c r="Q1802" s="33" t="str">
        <f t="shared" si="208"/>
        <v/>
      </c>
      <c r="R1802" s="39" t="str">
        <f t="shared" si="209"/>
        <v/>
      </c>
    </row>
    <row r="1803" spans="6:18" x14ac:dyDescent="0.25">
      <c r="F1803" s="35">
        <v>1797</v>
      </c>
      <c r="L1803" s="33" t="str">
        <f t="shared" si="203"/>
        <v/>
      </c>
      <c r="M1803" t="str">
        <f t="shared" si="204"/>
        <v/>
      </c>
      <c r="N1803" s="33" t="str">
        <f t="shared" si="205"/>
        <v/>
      </c>
      <c r="O1803" s="33" t="str">
        <f t="shared" si="206"/>
        <v/>
      </c>
      <c r="P1803" t="str">
        <f t="shared" si="207"/>
        <v/>
      </c>
      <c r="Q1803" s="33" t="str">
        <f t="shared" si="208"/>
        <v/>
      </c>
      <c r="R1803" s="39" t="str">
        <f t="shared" si="209"/>
        <v/>
      </c>
    </row>
    <row r="1804" spans="6:18" x14ac:dyDescent="0.25">
      <c r="F1804" s="35">
        <v>1798</v>
      </c>
      <c r="L1804" s="33" t="str">
        <f t="shared" si="203"/>
        <v/>
      </c>
      <c r="M1804" t="str">
        <f t="shared" si="204"/>
        <v/>
      </c>
      <c r="N1804" s="33" t="str">
        <f t="shared" si="205"/>
        <v/>
      </c>
      <c r="O1804" s="33" t="str">
        <f t="shared" si="206"/>
        <v/>
      </c>
      <c r="P1804" t="str">
        <f t="shared" si="207"/>
        <v/>
      </c>
      <c r="Q1804" s="33" t="str">
        <f t="shared" si="208"/>
        <v/>
      </c>
      <c r="R1804" s="39" t="str">
        <f t="shared" si="209"/>
        <v/>
      </c>
    </row>
    <row r="1805" spans="6:18" x14ac:dyDescent="0.25">
      <c r="F1805" s="35">
        <v>1799</v>
      </c>
      <c r="L1805" s="33" t="str">
        <f t="shared" si="203"/>
        <v/>
      </c>
      <c r="M1805" t="str">
        <f t="shared" si="204"/>
        <v/>
      </c>
      <c r="N1805" s="33" t="str">
        <f t="shared" si="205"/>
        <v/>
      </c>
      <c r="O1805" s="33" t="str">
        <f t="shared" si="206"/>
        <v/>
      </c>
      <c r="P1805" t="str">
        <f t="shared" si="207"/>
        <v/>
      </c>
      <c r="Q1805" s="33" t="str">
        <f t="shared" si="208"/>
        <v/>
      </c>
      <c r="R1805" s="39" t="str">
        <f t="shared" si="209"/>
        <v/>
      </c>
    </row>
    <row r="1806" spans="6:18" x14ac:dyDescent="0.25">
      <c r="F1806" s="35">
        <v>1800</v>
      </c>
      <c r="L1806" s="33" t="str">
        <f t="shared" si="203"/>
        <v/>
      </c>
      <c r="M1806" t="str">
        <f t="shared" si="204"/>
        <v/>
      </c>
      <c r="N1806" s="33" t="str">
        <f t="shared" si="205"/>
        <v/>
      </c>
      <c r="O1806" s="33" t="str">
        <f t="shared" si="206"/>
        <v/>
      </c>
      <c r="P1806" t="str">
        <f t="shared" si="207"/>
        <v/>
      </c>
      <c r="Q1806" s="33" t="str">
        <f t="shared" si="208"/>
        <v/>
      </c>
      <c r="R1806" s="39" t="str">
        <f t="shared" si="209"/>
        <v/>
      </c>
    </row>
    <row r="1807" spans="6:18" x14ac:dyDescent="0.25">
      <c r="F1807" s="35">
        <v>1801</v>
      </c>
      <c r="L1807" s="33" t="str">
        <f t="shared" si="203"/>
        <v/>
      </c>
      <c r="M1807" t="str">
        <f t="shared" si="204"/>
        <v/>
      </c>
      <c r="N1807" s="33" t="str">
        <f t="shared" si="205"/>
        <v/>
      </c>
      <c r="O1807" s="33" t="str">
        <f t="shared" si="206"/>
        <v/>
      </c>
      <c r="P1807" t="str">
        <f t="shared" si="207"/>
        <v/>
      </c>
      <c r="Q1807" s="33" t="str">
        <f t="shared" si="208"/>
        <v/>
      </c>
      <c r="R1807" s="39" t="str">
        <f t="shared" si="209"/>
        <v/>
      </c>
    </row>
    <row r="1808" spans="6:18" x14ac:dyDescent="0.25">
      <c r="F1808" s="35">
        <v>1802</v>
      </c>
      <c r="L1808" s="33" t="str">
        <f t="shared" si="203"/>
        <v/>
      </c>
      <c r="M1808" t="str">
        <f t="shared" si="204"/>
        <v/>
      </c>
      <c r="N1808" s="33" t="str">
        <f t="shared" si="205"/>
        <v/>
      </c>
      <c r="O1808" s="33" t="str">
        <f t="shared" si="206"/>
        <v/>
      </c>
      <c r="P1808" t="str">
        <f t="shared" si="207"/>
        <v/>
      </c>
      <c r="Q1808" s="33" t="str">
        <f t="shared" si="208"/>
        <v/>
      </c>
      <c r="R1808" s="39" t="str">
        <f t="shared" si="209"/>
        <v/>
      </c>
    </row>
    <row r="1809" spans="6:18" x14ac:dyDescent="0.25">
      <c r="F1809" s="35">
        <v>1803</v>
      </c>
      <c r="L1809" s="33" t="str">
        <f t="shared" si="203"/>
        <v/>
      </c>
      <c r="M1809" t="str">
        <f t="shared" si="204"/>
        <v/>
      </c>
      <c r="N1809" s="33" t="str">
        <f t="shared" si="205"/>
        <v/>
      </c>
      <c r="O1809" s="33" t="str">
        <f t="shared" si="206"/>
        <v/>
      </c>
      <c r="P1809" t="str">
        <f t="shared" si="207"/>
        <v/>
      </c>
      <c r="Q1809" s="33" t="str">
        <f t="shared" si="208"/>
        <v/>
      </c>
      <c r="R1809" s="39" t="str">
        <f t="shared" si="209"/>
        <v/>
      </c>
    </row>
    <row r="1810" spans="6:18" x14ac:dyDescent="0.25">
      <c r="F1810" s="35">
        <v>1804</v>
      </c>
      <c r="L1810" s="33" t="str">
        <f t="shared" si="203"/>
        <v/>
      </c>
      <c r="M1810" t="str">
        <f t="shared" si="204"/>
        <v/>
      </c>
      <c r="N1810" s="33" t="str">
        <f t="shared" si="205"/>
        <v/>
      </c>
      <c r="O1810" s="33" t="str">
        <f t="shared" si="206"/>
        <v/>
      </c>
      <c r="P1810" t="str">
        <f t="shared" si="207"/>
        <v/>
      </c>
      <c r="Q1810" s="33" t="str">
        <f t="shared" si="208"/>
        <v/>
      </c>
      <c r="R1810" s="39" t="str">
        <f t="shared" si="209"/>
        <v/>
      </c>
    </row>
    <row r="1811" spans="6:18" x14ac:dyDescent="0.25">
      <c r="F1811" s="35">
        <v>1805</v>
      </c>
      <c r="L1811" s="33" t="str">
        <f t="shared" si="203"/>
        <v/>
      </c>
      <c r="M1811" t="str">
        <f t="shared" si="204"/>
        <v/>
      </c>
      <c r="N1811" s="33" t="str">
        <f t="shared" si="205"/>
        <v/>
      </c>
      <c r="O1811" s="33" t="str">
        <f t="shared" si="206"/>
        <v/>
      </c>
      <c r="P1811" t="str">
        <f t="shared" si="207"/>
        <v/>
      </c>
      <c r="Q1811" s="33" t="str">
        <f t="shared" si="208"/>
        <v/>
      </c>
      <c r="R1811" s="39" t="str">
        <f t="shared" si="209"/>
        <v/>
      </c>
    </row>
    <row r="1812" spans="6:18" x14ac:dyDescent="0.25">
      <c r="F1812" s="35">
        <v>1806</v>
      </c>
      <c r="L1812" s="33" t="str">
        <f t="shared" si="203"/>
        <v/>
      </c>
      <c r="M1812" t="str">
        <f t="shared" si="204"/>
        <v/>
      </c>
      <c r="N1812" s="33" t="str">
        <f t="shared" si="205"/>
        <v/>
      </c>
      <c r="O1812" s="33" t="str">
        <f t="shared" si="206"/>
        <v/>
      </c>
      <c r="P1812" t="str">
        <f t="shared" si="207"/>
        <v/>
      </c>
      <c r="Q1812" s="33" t="str">
        <f t="shared" si="208"/>
        <v/>
      </c>
      <c r="R1812" s="39" t="str">
        <f t="shared" si="209"/>
        <v/>
      </c>
    </row>
    <row r="1813" spans="6:18" x14ac:dyDescent="0.25">
      <c r="F1813" s="35">
        <v>1807</v>
      </c>
      <c r="L1813" s="33" t="str">
        <f t="shared" si="203"/>
        <v/>
      </c>
      <c r="M1813" t="str">
        <f t="shared" si="204"/>
        <v/>
      </c>
      <c r="N1813" s="33" t="str">
        <f t="shared" si="205"/>
        <v/>
      </c>
      <c r="O1813" s="33" t="str">
        <f t="shared" si="206"/>
        <v/>
      </c>
      <c r="P1813" t="str">
        <f t="shared" si="207"/>
        <v/>
      </c>
      <c r="Q1813" s="33" t="str">
        <f t="shared" si="208"/>
        <v/>
      </c>
      <c r="R1813" s="39" t="str">
        <f t="shared" si="209"/>
        <v/>
      </c>
    </row>
    <row r="1814" spans="6:18" x14ac:dyDescent="0.25">
      <c r="F1814" s="35">
        <v>1808</v>
      </c>
      <c r="L1814" s="33" t="str">
        <f t="shared" si="203"/>
        <v/>
      </c>
      <c r="M1814" t="str">
        <f t="shared" si="204"/>
        <v/>
      </c>
      <c r="N1814" s="33" t="str">
        <f t="shared" si="205"/>
        <v/>
      </c>
      <c r="O1814" s="33" t="str">
        <f t="shared" si="206"/>
        <v/>
      </c>
      <c r="P1814" t="str">
        <f t="shared" si="207"/>
        <v/>
      </c>
      <c r="Q1814" s="33" t="str">
        <f t="shared" si="208"/>
        <v/>
      </c>
      <c r="R1814" s="39" t="str">
        <f t="shared" si="209"/>
        <v/>
      </c>
    </row>
    <row r="1815" spans="6:18" x14ac:dyDescent="0.25">
      <c r="F1815" s="35">
        <v>1809</v>
      </c>
      <c r="L1815" s="33" t="str">
        <f t="shared" si="203"/>
        <v/>
      </c>
      <c r="M1815" t="str">
        <f t="shared" si="204"/>
        <v/>
      </c>
      <c r="N1815" s="33" t="str">
        <f t="shared" si="205"/>
        <v/>
      </c>
      <c r="O1815" s="33" t="str">
        <f t="shared" si="206"/>
        <v/>
      </c>
      <c r="P1815" t="str">
        <f t="shared" si="207"/>
        <v/>
      </c>
      <c r="Q1815" s="33" t="str">
        <f t="shared" si="208"/>
        <v/>
      </c>
      <c r="R1815" s="39" t="str">
        <f t="shared" si="209"/>
        <v/>
      </c>
    </row>
    <row r="1816" spans="6:18" x14ac:dyDescent="0.25">
      <c r="F1816" s="35">
        <v>1810</v>
      </c>
      <c r="L1816" s="33" t="str">
        <f t="shared" si="203"/>
        <v/>
      </c>
      <c r="M1816" t="str">
        <f t="shared" si="204"/>
        <v/>
      </c>
      <c r="N1816" s="33" t="str">
        <f t="shared" si="205"/>
        <v/>
      </c>
      <c r="O1816" s="33" t="str">
        <f t="shared" si="206"/>
        <v/>
      </c>
      <c r="P1816" t="str">
        <f t="shared" si="207"/>
        <v/>
      </c>
      <c r="Q1816" s="33" t="str">
        <f t="shared" si="208"/>
        <v/>
      </c>
      <c r="R1816" s="39" t="str">
        <f t="shared" si="209"/>
        <v/>
      </c>
    </row>
    <row r="1817" spans="6:18" x14ac:dyDescent="0.25">
      <c r="F1817" s="35">
        <v>1811</v>
      </c>
      <c r="L1817" s="33" t="str">
        <f t="shared" si="203"/>
        <v/>
      </c>
      <c r="M1817" t="str">
        <f t="shared" si="204"/>
        <v/>
      </c>
      <c r="N1817" s="33" t="str">
        <f t="shared" si="205"/>
        <v/>
      </c>
      <c r="O1817" s="33" t="str">
        <f t="shared" si="206"/>
        <v/>
      </c>
      <c r="P1817" t="str">
        <f t="shared" si="207"/>
        <v/>
      </c>
      <c r="Q1817" s="33" t="str">
        <f t="shared" si="208"/>
        <v/>
      </c>
      <c r="R1817" s="39" t="str">
        <f t="shared" si="209"/>
        <v/>
      </c>
    </row>
    <row r="1818" spans="6:18" x14ac:dyDescent="0.25">
      <c r="F1818" s="35">
        <v>1812</v>
      </c>
      <c r="L1818" s="33" t="str">
        <f t="shared" si="203"/>
        <v/>
      </c>
      <c r="M1818" t="str">
        <f t="shared" si="204"/>
        <v/>
      </c>
      <c r="N1818" s="33" t="str">
        <f t="shared" si="205"/>
        <v/>
      </c>
      <c r="O1818" s="33" t="str">
        <f t="shared" si="206"/>
        <v/>
      </c>
      <c r="P1818" t="str">
        <f t="shared" si="207"/>
        <v/>
      </c>
      <c r="Q1818" s="33" t="str">
        <f t="shared" si="208"/>
        <v/>
      </c>
      <c r="R1818" s="39" t="str">
        <f t="shared" si="209"/>
        <v/>
      </c>
    </row>
    <row r="1819" spans="6:18" x14ac:dyDescent="0.25">
      <c r="F1819" s="35">
        <v>1813</v>
      </c>
      <c r="L1819" s="33" t="str">
        <f t="shared" si="203"/>
        <v/>
      </c>
      <c r="M1819" t="str">
        <f t="shared" si="204"/>
        <v/>
      </c>
      <c r="N1819" s="33" t="str">
        <f t="shared" si="205"/>
        <v/>
      </c>
      <c r="O1819" s="33" t="str">
        <f t="shared" si="206"/>
        <v/>
      </c>
      <c r="P1819" t="str">
        <f t="shared" si="207"/>
        <v/>
      </c>
      <c r="Q1819" s="33" t="str">
        <f t="shared" si="208"/>
        <v/>
      </c>
      <c r="R1819" s="39" t="str">
        <f t="shared" si="209"/>
        <v/>
      </c>
    </row>
    <row r="1820" spans="6:18" x14ac:dyDescent="0.25">
      <c r="F1820" s="35">
        <v>1814</v>
      </c>
      <c r="L1820" s="33" t="str">
        <f t="shared" si="203"/>
        <v/>
      </c>
      <c r="M1820" t="str">
        <f t="shared" si="204"/>
        <v/>
      </c>
      <c r="N1820" s="33" t="str">
        <f t="shared" si="205"/>
        <v/>
      </c>
      <c r="O1820" s="33" t="str">
        <f t="shared" si="206"/>
        <v/>
      </c>
      <c r="P1820" t="str">
        <f t="shared" si="207"/>
        <v/>
      </c>
      <c r="Q1820" s="33" t="str">
        <f t="shared" si="208"/>
        <v/>
      </c>
      <c r="R1820" s="39" t="str">
        <f t="shared" si="209"/>
        <v/>
      </c>
    </row>
    <row r="1821" spans="6:18" x14ac:dyDescent="0.25">
      <c r="F1821" s="35">
        <v>1815</v>
      </c>
      <c r="L1821" s="33" t="str">
        <f t="shared" si="203"/>
        <v/>
      </c>
      <c r="M1821" t="str">
        <f t="shared" si="204"/>
        <v/>
      </c>
      <c r="N1821" s="33" t="str">
        <f t="shared" si="205"/>
        <v/>
      </c>
      <c r="O1821" s="33" t="str">
        <f t="shared" si="206"/>
        <v/>
      </c>
      <c r="P1821" t="str">
        <f t="shared" si="207"/>
        <v/>
      </c>
      <c r="Q1821" s="33" t="str">
        <f t="shared" si="208"/>
        <v/>
      </c>
      <c r="R1821" s="39" t="str">
        <f t="shared" si="209"/>
        <v/>
      </c>
    </row>
    <row r="1822" spans="6:18" x14ac:dyDescent="0.25">
      <c r="F1822" s="35">
        <v>1816</v>
      </c>
      <c r="L1822" s="33" t="str">
        <f t="shared" si="203"/>
        <v/>
      </c>
      <c r="M1822" t="str">
        <f t="shared" si="204"/>
        <v/>
      </c>
      <c r="N1822" s="33" t="str">
        <f t="shared" si="205"/>
        <v/>
      </c>
      <c r="O1822" s="33" t="str">
        <f t="shared" si="206"/>
        <v/>
      </c>
      <c r="P1822" t="str">
        <f t="shared" si="207"/>
        <v/>
      </c>
      <c r="Q1822" s="33" t="str">
        <f t="shared" si="208"/>
        <v/>
      </c>
      <c r="R1822" s="39" t="str">
        <f t="shared" si="209"/>
        <v/>
      </c>
    </row>
    <row r="1823" spans="6:18" x14ac:dyDescent="0.25">
      <c r="F1823" s="35">
        <v>1817</v>
      </c>
      <c r="L1823" s="33" t="str">
        <f t="shared" si="203"/>
        <v/>
      </c>
      <c r="M1823" t="str">
        <f t="shared" si="204"/>
        <v/>
      </c>
      <c r="N1823" s="33" t="str">
        <f t="shared" si="205"/>
        <v/>
      </c>
      <c r="O1823" s="33" t="str">
        <f t="shared" si="206"/>
        <v/>
      </c>
      <c r="P1823" t="str">
        <f t="shared" si="207"/>
        <v/>
      </c>
      <c r="Q1823" s="33" t="str">
        <f t="shared" si="208"/>
        <v/>
      </c>
      <c r="R1823" s="39" t="str">
        <f t="shared" si="209"/>
        <v/>
      </c>
    </row>
    <row r="1824" spans="6:18" x14ac:dyDescent="0.25">
      <c r="F1824" s="35">
        <v>1818</v>
      </c>
      <c r="L1824" s="33" t="str">
        <f t="shared" si="203"/>
        <v/>
      </c>
      <c r="M1824" t="str">
        <f t="shared" si="204"/>
        <v/>
      </c>
      <c r="N1824" s="33" t="str">
        <f t="shared" si="205"/>
        <v/>
      </c>
      <c r="O1824" s="33" t="str">
        <f t="shared" si="206"/>
        <v/>
      </c>
      <c r="P1824" t="str">
        <f t="shared" si="207"/>
        <v/>
      </c>
      <c r="Q1824" s="33" t="str">
        <f t="shared" si="208"/>
        <v/>
      </c>
      <c r="R1824" s="39" t="str">
        <f t="shared" si="209"/>
        <v/>
      </c>
    </row>
    <row r="1825" spans="6:18" x14ac:dyDescent="0.25">
      <c r="F1825" s="35">
        <v>1819</v>
      </c>
      <c r="L1825" s="33" t="str">
        <f t="shared" si="203"/>
        <v/>
      </c>
      <c r="M1825" t="str">
        <f t="shared" si="204"/>
        <v/>
      </c>
      <c r="N1825" s="33" t="str">
        <f t="shared" si="205"/>
        <v/>
      </c>
      <c r="O1825" s="33" t="str">
        <f t="shared" si="206"/>
        <v/>
      </c>
      <c r="P1825" t="str">
        <f t="shared" si="207"/>
        <v/>
      </c>
      <c r="Q1825" s="33" t="str">
        <f t="shared" si="208"/>
        <v/>
      </c>
      <c r="R1825" s="39" t="str">
        <f t="shared" si="209"/>
        <v/>
      </c>
    </row>
    <row r="1826" spans="6:18" x14ac:dyDescent="0.25">
      <c r="F1826" s="35">
        <v>1820</v>
      </c>
      <c r="L1826" s="33" t="str">
        <f t="shared" si="203"/>
        <v/>
      </c>
      <c r="M1826" t="str">
        <f t="shared" si="204"/>
        <v/>
      </c>
      <c r="N1826" s="33" t="str">
        <f t="shared" si="205"/>
        <v/>
      </c>
      <c r="O1826" s="33" t="str">
        <f t="shared" si="206"/>
        <v/>
      </c>
      <c r="P1826" t="str">
        <f t="shared" si="207"/>
        <v/>
      </c>
      <c r="Q1826" s="33" t="str">
        <f t="shared" si="208"/>
        <v/>
      </c>
      <c r="R1826" s="39" t="str">
        <f t="shared" si="209"/>
        <v/>
      </c>
    </row>
    <row r="1827" spans="6:18" x14ac:dyDescent="0.25">
      <c r="F1827" s="35">
        <v>1821</v>
      </c>
      <c r="L1827" s="33" t="str">
        <f t="shared" si="203"/>
        <v/>
      </c>
      <c r="M1827" t="str">
        <f t="shared" si="204"/>
        <v/>
      </c>
      <c r="N1827" s="33" t="str">
        <f t="shared" si="205"/>
        <v/>
      </c>
      <c r="O1827" s="33" t="str">
        <f t="shared" si="206"/>
        <v/>
      </c>
      <c r="P1827" t="str">
        <f t="shared" si="207"/>
        <v/>
      </c>
      <c r="Q1827" s="33" t="str">
        <f t="shared" si="208"/>
        <v/>
      </c>
      <c r="R1827" s="39" t="str">
        <f t="shared" si="209"/>
        <v/>
      </c>
    </row>
    <row r="1828" spans="6:18" x14ac:dyDescent="0.25">
      <c r="F1828" s="35">
        <v>1822</v>
      </c>
      <c r="L1828" s="33" t="str">
        <f t="shared" si="203"/>
        <v/>
      </c>
      <c r="M1828" t="str">
        <f t="shared" si="204"/>
        <v/>
      </c>
      <c r="N1828" s="33" t="str">
        <f t="shared" si="205"/>
        <v/>
      </c>
      <c r="O1828" s="33" t="str">
        <f t="shared" si="206"/>
        <v/>
      </c>
      <c r="P1828" t="str">
        <f t="shared" si="207"/>
        <v/>
      </c>
      <c r="Q1828" s="33" t="str">
        <f t="shared" si="208"/>
        <v/>
      </c>
      <c r="R1828" s="39" t="str">
        <f t="shared" si="209"/>
        <v/>
      </c>
    </row>
    <row r="1829" spans="6:18" x14ac:dyDescent="0.25">
      <c r="F1829" s="35">
        <v>1823</v>
      </c>
      <c r="L1829" s="33" t="str">
        <f t="shared" si="203"/>
        <v/>
      </c>
      <c r="M1829" t="str">
        <f t="shared" si="204"/>
        <v/>
      </c>
      <c r="N1829" s="33" t="str">
        <f t="shared" si="205"/>
        <v/>
      </c>
      <c r="O1829" s="33" t="str">
        <f t="shared" si="206"/>
        <v/>
      </c>
      <c r="P1829" t="str">
        <f t="shared" si="207"/>
        <v/>
      </c>
      <c r="Q1829" s="33" t="str">
        <f t="shared" si="208"/>
        <v/>
      </c>
      <c r="R1829" s="39" t="str">
        <f t="shared" si="209"/>
        <v/>
      </c>
    </row>
    <row r="1830" spans="6:18" x14ac:dyDescent="0.25">
      <c r="F1830" s="35">
        <v>1824</v>
      </c>
      <c r="L1830" s="33" t="str">
        <f t="shared" si="203"/>
        <v/>
      </c>
      <c r="M1830" t="str">
        <f t="shared" si="204"/>
        <v/>
      </c>
      <c r="N1830" s="33" t="str">
        <f t="shared" si="205"/>
        <v/>
      </c>
      <c r="O1830" s="33" t="str">
        <f t="shared" si="206"/>
        <v/>
      </c>
      <c r="P1830" t="str">
        <f t="shared" si="207"/>
        <v/>
      </c>
      <c r="Q1830" s="33" t="str">
        <f t="shared" si="208"/>
        <v/>
      </c>
      <c r="R1830" s="39" t="str">
        <f t="shared" si="209"/>
        <v/>
      </c>
    </row>
    <row r="1831" spans="6:18" x14ac:dyDescent="0.25">
      <c r="F1831" s="35">
        <v>1825</v>
      </c>
      <c r="L1831" s="33" t="str">
        <f t="shared" si="203"/>
        <v/>
      </c>
      <c r="M1831" t="str">
        <f t="shared" si="204"/>
        <v/>
      </c>
      <c r="N1831" s="33" t="str">
        <f t="shared" si="205"/>
        <v/>
      </c>
      <c r="O1831" s="33" t="str">
        <f t="shared" si="206"/>
        <v/>
      </c>
      <c r="P1831" t="str">
        <f t="shared" si="207"/>
        <v/>
      </c>
      <c r="Q1831" s="33" t="str">
        <f t="shared" si="208"/>
        <v/>
      </c>
      <c r="R1831" s="39" t="str">
        <f t="shared" si="209"/>
        <v/>
      </c>
    </row>
    <row r="1832" spans="6:18" x14ac:dyDescent="0.25">
      <c r="F1832" s="35">
        <v>1826</v>
      </c>
      <c r="L1832" s="33" t="str">
        <f t="shared" si="203"/>
        <v/>
      </c>
      <c r="M1832" t="str">
        <f t="shared" si="204"/>
        <v/>
      </c>
      <c r="N1832" s="33" t="str">
        <f t="shared" si="205"/>
        <v/>
      </c>
      <c r="O1832" s="33" t="str">
        <f t="shared" si="206"/>
        <v/>
      </c>
      <c r="P1832" t="str">
        <f t="shared" si="207"/>
        <v/>
      </c>
      <c r="Q1832" s="33" t="str">
        <f t="shared" si="208"/>
        <v/>
      </c>
      <c r="R1832" s="39" t="str">
        <f t="shared" si="209"/>
        <v/>
      </c>
    </row>
    <row r="1833" spans="6:18" x14ac:dyDescent="0.25">
      <c r="F1833" s="35">
        <v>1827</v>
      </c>
      <c r="L1833" s="33" t="str">
        <f t="shared" si="203"/>
        <v/>
      </c>
      <c r="M1833" t="str">
        <f t="shared" si="204"/>
        <v/>
      </c>
      <c r="N1833" s="33" t="str">
        <f t="shared" si="205"/>
        <v/>
      </c>
      <c r="O1833" s="33" t="str">
        <f t="shared" si="206"/>
        <v/>
      </c>
      <c r="P1833" t="str">
        <f t="shared" si="207"/>
        <v/>
      </c>
      <c r="Q1833" s="33" t="str">
        <f t="shared" si="208"/>
        <v/>
      </c>
      <c r="R1833" s="39" t="str">
        <f t="shared" si="209"/>
        <v/>
      </c>
    </row>
    <row r="1834" spans="6:18" x14ac:dyDescent="0.25">
      <c r="F1834" s="35">
        <v>1828</v>
      </c>
      <c r="L1834" s="33" t="str">
        <f t="shared" si="203"/>
        <v/>
      </c>
      <c r="M1834" t="str">
        <f t="shared" si="204"/>
        <v/>
      </c>
      <c r="N1834" s="33" t="str">
        <f t="shared" si="205"/>
        <v/>
      </c>
      <c r="O1834" s="33" t="str">
        <f t="shared" si="206"/>
        <v/>
      </c>
      <c r="P1834" t="str">
        <f t="shared" si="207"/>
        <v/>
      </c>
      <c r="Q1834" s="33" t="str">
        <f t="shared" si="208"/>
        <v/>
      </c>
      <c r="R1834" s="39" t="str">
        <f t="shared" si="209"/>
        <v/>
      </c>
    </row>
    <row r="1835" spans="6:18" x14ac:dyDescent="0.25">
      <c r="F1835" s="35">
        <v>1829</v>
      </c>
      <c r="L1835" s="33" t="str">
        <f t="shared" si="203"/>
        <v/>
      </c>
      <c r="M1835" t="str">
        <f t="shared" si="204"/>
        <v/>
      </c>
      <c r="N1835" s="33" t="str">
        <f t="shared" si="205"/>
        <v/>
      </c>
      <c r="O1835" s="33" t="str">
        <f t="shared" si="206"/>
        <v/>
      </c>
      <c r="P1835" t="str">
        <f t="shared" si="207"/>
        <v/>
      </c>
      <c r="Q1835" s="33" t="str">
        <f t="shared" si="208"/>
        <v/>
      </c>
      <c r="R1835" s="39" t="str">
        <f t="shared" si="209"/>
        <v/>
      </c>
    </row>
    <row r="1836" spans="6:18" x14ac:dyDescent="0.25">
      <c r="F1836" s="35">
        <v>1830</v>
      </c>
      <c r="L1836" s="33" t="str">
        <f t="shared" si="203"/>
        <v/>
      </c>
      <c r="M1836" t="str">
        <f t="shared" si="204"/>
        <v/>
      </c>
      <c r="N1836" s="33" t="str">
        <f t="shared" si="205"/>
        <v/>
      </c>
      <c r="O1836" s="33" t="str">
        <f t="shared" si="206"/>
        <v/>
      </c>
      <c r="P1836" t="str">
        <f t="shared" si="207"/>
        <v/>
      </c>
      <c r="Q1836" s="33" t="str">
        <f t="shared" si="208"/>
        <v/>
      </c>
      <c r="R1836" s="39" t="str">
        <f t="shared" si="209"/>
        <v/>
      </c>
    </row>
    <row r="1837" spans="6:18" x14ac:dyDescent="0.25">
      <c r="F1837" s="35">
        <v>1831</v>
      </c>
      <c r="L1837" s="33" t="str">
        <f t="shared" si="203"/>
        <v/>
      </c>
      <c r="M1837" t="str">
        <f t="shared" si="204"/>
        <v/>
      </c>
      <c r="N1837" s="33" t="str">
        <f t="shared" si="205"/>
        <v/>
      </c>
      <c r="O1837" s="33" t="str">
        <f t="shared" si="206"/>
        <v/>
      </c>
      <c r="P1837" t="str">
        <f t="shared" si="207"/>
        <v/>
      </c>
      <c r="Q1837" s="33" t="str">
        <f t="shared" si="208"/>
        <v/>
      </c>
      <c r="R1837" s="39" t="str">
        <f t="shared" si="209"/>
        <v/>
      </c>
    </row>
    <row r="1838" spans="6:18" x14ac:dyDescent="0.25">
      <c r="F1838" s="35">
        <v>1832</v>
      </c>
      <c r="L1838" s="33" t="str">
        <f t="shared" si="203"/>
        <v/>
      </c>
      <c r="M1838" t="str">
        <f t="shared" si="204"/>
        <v/>
      </c>
      <c r="N1838" s="33" t="str">
        <f t="shared" si="205"/>
        <v/>
      </c>
      <c r="O1838" s="33" t="str">
        <f t="shared" si="206"/>
        <v/>
      </c>
      <c r="P1838" t="str">
        <f t="shared" si="207"/>
        <v/>
      </c>
      <c r="Q1838" s="33" t="str">
        <f t="shared" si="208"/>
        <v/>
      </c>
      <c r="R1838" s="39" t="str">
        <f t="shared" si="209"/>
        <v/>
      </c>
    </row>
    <row r="1839" spans="6:18" x14ac:dyDescent="0.25">
      <c r="F1839" s="35">
        <v>1833</v>
      </c>
      <c r="L1839" s="33" t="str">
        <f t="shared" si="203"/>
        <v/>
      </c>
      <c r="M1839" t="str">
        <f t="shared" si="204"/>
        <v/>
      </c>
      <c r="N1839" s="33" t="str">
        <f t="shared" si="205"/>
        <v/>
      </c>
      <c r="O1839" s="33" t="str">
        <f t="shared" si="206"/>
        <v/>
      </c>
      <c r="P1839" t="str">
        <f t="shared" si="207"/>
        <v/>
      </c>
      <c r="Q1839" s="33" t="str">
        <f t="shared" si="208"/>
        <v/>
      </c>
      <c r="R1839" s="39" t="str">
        <f t="shared" si="209"/>
        <v/>
      </c>
    </row>
    <row r="1840" spans="6:18" x14ac:dyDescent="0.25">
      <c r="F1840" s="35">
        <v>1834</v>
      </c>
      <c r="L1840" s="33" t="str">
        <f t="shared" si="203"/>
        <v/>
      </c>
      <c r="M1840" t="str">
        <f t="shared" si="204"/>
        <v/>
      </c>
      <c r="N1840" s="33" t="str">
        <f t="shared" si="205"/>
        <v/>
      </c>
      <c r="O1840" s="33" t="str">
        <f t="shared" si="206"/>
        <v/>
      </c>
      <c r="P1840" t="str">
        <f t="shared" si="207"/>
        <v/>
      </c>
      <c r="Q1840" s="33" t="str">
        <f t="shared" si="208"/>
        <v/>
      </c>
      <c r="R1840" s="39" t="str">
        <f t="shared" si="209"/>
        <v/>
      </c>
    </row>
    <row r="1841" spans="6:18" x14ac:dyDescent="0.25">
      <c r="F1841" s="35">
        <v>1835</v>
      </c>
      <c r="L1841" s="33" t="str">
        <f t="shared" si="203"/>
        <v/>
      </c>
      <c r="M1841" t="str">
        <f t="shared" si="204"/>
        <v/>
      </c>
      <c r="N1841" s="33" t="str">
        <f t="shared" si="205"/>
        <v/>
      </c>
      <c r="O1841" s="33" t="str">
        <f t="shared" si="206"/>
        <v/>
      </c>
      <c r="P1841" t="str">
        <f t="shared" si="207"/>
        <v/>
      </c>
      <c r="Q1841" s="33" t="str">
        <f t="shared" si="208"/>
        <v/>
      </c>
      <c r="R1841" s="39" t="str">
        <f t="shared" si="209"/>
        <v/>
      </c>
    </row>
    <row r="1842" spans="6:18" x14ac:dyDescent="0.25">
      <c r="F1842" s="35">
        <v>1836</v>
      </c>
      <c r="L1842" s="33" t="str">
        <f t="shared" si="203"/>
        <v/>
      </c>
      <c r="M1842" t="str">
        <f t="shared" si="204"/>
        <v/>
      </c>
      <c r="N1842" s="33" t="str">
        <f t="shared" si="205"/>
        <v/>
      </c>
      <c r="O1842" s="33" t="str">
        <f t="shared" si="206"/>
        <v/>
      </c>
      <c r="P1842" t="str">
        <f t="shared" si="207"/>
        <v/>
      </c>
      <c r="Q1842" s="33" t="str">
        <f t="shared" si="208"/>
        <v/>
      </c>
      <c r="R1842" s="39" t="str">
        <f t="shared" si="209"/>
        <v/>
      </c>
    </row>
    <row r="1843" spans="6:18" x14ac:dyDescent="0.25">
      <c r="F1843" s="35">
        <v>1837</v>
      </c>
      <c r="L1843" s="33" t="str">
        <f t="shared" si="203"/>
        <v/>
      </c>
      <c r="M1843" t="str">
        <f t="shared" si="204"/>
        <v/>
      </c>
      <c r="N1843" s="33" t="str">
        <f t="shared" si="205"/>
        <v/>
      </c>
      <c r="O1843" s="33" t="str">
        <f t="shared" si="206"/>
        <v/>
      </c>
      <c r="P1843" t="str">
        <f t="shared" si="207"/>
        <v/>
      </c>
      <c r="Q1843" s="33" t="str">
        <f t="shared" si="208"/>
        <v/>
      </c>
      <c r="R1843" s="39" t="str">
        <f t="shared" si="209"/>
        <v/>
      </c>
    </row>
    <row r="1844" spans="6:18" x14ac:dyDescent="0.25">
      <c r="F1844" s="35">
        <v>1838</v>
      </c>
      <c r="L1844" s="33" t="str">
        <f t="shared" si="203"/>
        <v/>
      </c>
      <c r="M1844" t="str">
        <f t="shared" si="204"/>
        <v/>
      </c>
      <c r="N1844" s="33" t="str">
        <f t="shared" si="205"/>
        <v/>
      </c>
      <c r="O1844" s="33" t="str">
        <f t="shared" si="206"/>
        <v/>
      </c>
      <c r="P1844" t="str">
        <f t="shared" si="207"/>
        <v/>
      </c>
      <c r="Q1844" s="33" t="str">
        <f t="shared" si="208"/>
        <v/>
      </c>
      <c r="R1844" s="39" t="str">
        <f t="shared" si="209"/>
        <v/>
      </c>
    </row>
    <row r="1845" spans="6:18" x14ac:dyDescent="0.25">
      <c r="F1845" s="35">
        <v>1839</v>
      </c>
      <c r="L1845" s="33" t="str">
        <f t="shared" si="203"/>
        <v/>
      </c>
      <c r="M1845" t="str">
        <f t="shared" si="204"/>
        <v/>
      </c>
      <c r="N1845" s="33" t="str">
        <f t="shared" si="205"/>
        <v/>
      </c>
      <c r="O1845" s="33" t="str">
        <f t="shared" si="206"/>
        <v/>
      </c>
      <c r="P1845" t="str">
        <f t="shared" si="207"/>
        <v/>
      </c>
      <c r="Q1845" s="33" t="str">
        <f t="shared" si="208"/>
        <v/>
      </c>
      <c r="R1845" s="39" t="str">
        <f t="shared" si="209"/>
        <v/>
      </c>
    </row>
    <row r="1846" spans="6:18" x14ac:dyDescent="0.25">
      <c r="F1846" s="35">
        <v>1840</v>
      </c>
      <c r="L1846" s="33" t="str">
        <f t="shared" si="203"/>
        <v/>
      </c>
      <c r="M1846" t="str">
        <f t="shared" si="204"/>
        <v/>
      </c>
      <c r="N1846" s="33" t="str">
        <f t="shared" si="205"/>
        <v/>
      </c>
      <c r="O1846" s="33" t="str">
        <f t="shared" si="206"/>
        <v/>
      </c>
      <c r="P1846" t="str">
        <f t="shared" si="207"/>
        <v/>
      </c>
      <c r="Q1846" s="33" t="str">
        <f t="shared" si="208"/>
        <v/>
      </c>
      <c r="R1846" s="39" t="str">
        <f t="shared" si="209"/>
        <v/>
      </c>
    </row>
    <row r="1847" spans="6:18" x14ac:dyDescent="0.25">
      <c r="F1847" s="35">
        <v>1841</v>
      </c>
      <c r="L1847" s="33" t="str">
        <f t="shared" si="203"/>
        <v/>
      </c>
      <c r="M1847" t="str">
        <f t="shared" si="204"/>
        <v/>
      </c>
      <c r="N1847" s="33" t="str">
        <f t="shared" si="205"/>
        <v/>
      </c>
      <c r="O1847" s="33" t="str">
        <f t="shared" si="206"/>
        <v/>
      </c>
      <c r="P1847" t="str">
        <f t="shared" si="207"/>
        <v/>
      </c>
      <c r="Q1847" s="33" t="str">
        <f t="shared" si="208"/>
        <v/>
      </c>
      <c r="R1847" s="39" t="str">
        <f t="shared" si="209"/>
        <v/>
      </c>
    </row>
    <row r="1848" spans="6:18" x14ac:dyDescent="0.25">
      <c r="F1848" s="35">
        <v>1842</v>
      </c>
      <c r="L1848" s="33" t="str">
        <f t="shared" si="203"/>
        <v/>
      </c>
      <c r="M1848" t="str">
        <f t="shared" si="204"/>
        <v/>
      </c>
      <c r="N1848" s="33" t="str">
        <f t="shared" si="205"/>
        <v/>
      </c>
      <c r="O1848" s="33" t="str">
        <f t="shared" si="206"/>
        <v/>
      </c>
      <c r="P1848" t="str">
        <f t="shared" si="207"/>
        <v/>
      </c>
      <c r="Q1848" s="33" t="str">
        <f t="shared" si="208"/>
        <v/>
      </c>
      <c r="R1848" s="39" t="str">
        <f t="shared" si="209"/>
        <v/>
      </c>
    </row>
    <row r="1849" spans="6:18" x14ac:dyDescent="0.25">
      <c r="F1849" s="35">
        <v>1843</v>
      </c>
      <c r="L1849" s="33" t="str">
        <f t="shared" si="203"/>
        <v/>
      </c>
      <c r="M1849" t="str">
        <f t="shared" si="204"/>
        <v/>
      </c>
      <c r="N1849" s="33" t="str">
        <f t="shared" si="205"/>
        <v/>
      </c>
      <c r="O1849" s="33" t="str">
        <f t="shared" si="206"/>
        <v/>
      </c>
      <c r="P1849" t="str">
        <f t="shared" si="207"/>
        <v/>
      </c>
      <c r="Q1849" s="33" t="str">
        <f t="shared" si="208"/>
        <v/>
      </c>
      <c r="R1849" s="39" t="str">
        <f t="shared" si="209"/>
        <v/>
      </c>
    </row>
    <row r="1850" spans="6:18" x14ac:dyDescent="0.25">
      <c r="F1850" s="35">
        <v>1844</v>
      </c>
      <c r="L1850" s="33" t="str">
        <f t="shared" si="203"/>
        <v/>
      </c>
      <c r="M1850" t="str">
        <f t="shared" si="204"/>
        <v/>
      </c>
      <c r="N1850" s="33" t="str">
        <f t="shared" si="205"/>
        <v/>
      </c>
      <c r="O1850" s="33" t="str">
        <f t="shared" si="206"/>
        <v/>
      </c>
      <c r="P1850" t="str">
        <f t="shared" si="207"/>
        <v/>
      </c>
      <c r="Q1850" s="33" t="str">
        <f t="shared" si="208"/>
        <v/>
      </c>
      <c r="R1850" s="39" t="str">
        <f t="shared" si="209"/>
        <v/>
      </c>
    </row>
    <row r="1851" spans="6:18" x14ac:dyDescent="0.25">
      <c r="F1851" s="35">
        <v>1845</v>
      </c>
      <c r="L1851" s="33" t="str">
        <f t="shared" si="203"/>
        <v/>
      </c>
      <c r="M1851" t="str">
        <f t="shared" si="204"/>
        <v/>
      </c>
      <c r="N1851" s="33" t="str">
        <f t="shared" si="205"/>
        <v/>
      </c>
      <c r="O1851" s="33" t="str">
        <f t="shared" si="206"/>
        <v/>
      </c>
      <c r="P1851" t="str">
        <f t="shared" si="207"/>
        <v/>
      </c>
      <c r="Q1851" s="33" t="str">
        <f t="shared" si="208"/>
        <v/>
      </c>
      <c r="R1851" s="39" t="str">
        <f t="shared" si="209"/>
        <v/>
      </c>
    </row>
    <row r="1852" spans="6:18" x14ac:dyDescent="0.25">
      <c r="F1852" s="35">
        <v>1846</v>
      </c>
      <c r="L1852" s="33" t="str">
        <f t="shared" si="203"/>
        <v/>
      </c>
      <c r="M1852" t="str">
        <f t="shared" si="204"/>
        <v/>
      </c>
      <c r="N1852" s="33" t="str">
        <f t="shared" si="205"/>
        <v/>
      </c>
      <c r="O1852" s="33" t="str">
        <f t="shared" si="206"/>
        <v/>
      </c>
      <c r="P1852" t="str">
        <f t="shared" si="207"/>
        <v/>
      </c>
      <c r="Q1852" s="33" t="str">
        <f t="shared" si="208"/>
        <v/>
      </c>
      <c r="R1852" s="39" t="str">
        <f t="shared" si="209"/>
        <v/>
      </c>
    </row>
    <row r="1853" spans="6:18" x14ac:dyDescent="0.25">
      <c r="F1853" s="35">
        <v>1847</v>
      </c>
      <c r="L1853" s="33" t="str">
        <f t="shared" si="203"/>
        <v/>
      </c>
      <c r="M1853" t="str">
        <f t="shared" si="204"/>
        <v/>
      </c>
      <c r="N1853" s="33" t="str">
        <f t="shared" si="205"/>
        <v/>
      </c>
      <c r="O1853" s="33" t="str">
        <f t="shared" si="206"/>
        <v/>
      </c>
      <c r="P1853" t="str">
        <f t="shared" si="207"/>
        <v/>
      </c>
      <c r="Q1853" s="33" t="str">
        <f t="shared" si="208"/>
        <v/>
      </c>
      <c r="R1853" s="39" t="str">
        <f t="shared" si="209"/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096AD7-825F-4609-8B42-5D3467F556F3}">
          <x14:formula1>
            <xm:f>'Bonos M'!$A$3:$A$18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DA95F-A9E2-440E-B81E-46861EA61998}">
  <sheetPr codeName="Hoja3"/>
  <dimension ref="A1:AE18"/>
  <sheetViews>
    <sheetView zoomScale="60" workbookViewId="0">
      <selection activeCell="B3" sqref="B3"/>
    </sheetView>
  </sheetViews>
  <sheetFormatPr baseColWidth="10" defaultColWidth="10.140625" defaultRowHeight="15" x14ac:dyDescent="0.25"/>
  <cols>
    <col min="1" max="1" width="10.140625" style="18"/>
    <col min="2" max="2" width="13" style="18" bestFit="1" customWidth="1"/>
    <col min="3" max="3" width="14.42578125" style="18" bestFit="1" customWidth="1"/>
    <col min="4" max="4" width="3.42578125" style="18" bestFit="1" customWidth="1"/>
    <col min="5" max="5" width="8.42578125" style="18" bestFit="1" customWidth="1"/>
    <col min="6" max="6" width="8.140625" style="18" bestFit="1" customWidth="1"/>
    <col min="7" max="7" width="17.85546875" style="18" bestFit="1" customWidth="1"/>
    <col min="8" max="8" width="12.7109375" style="18" bestFit="1" customWidth="1"/>
    <col min="9" max="9" width="13" style="18" bestFit="1" customWidth="1"/>
    <col min="10" max="10" width="20" style="18" bestFit="1" customWidth="1"/>
    <col min="11" max="11" width="14.140625" style="18" bestFit="1" customWidth="1"/>
    <col min="12" max="12" width="14.42578125" style="18" bestFit="1" customWidth="1"/>
    <col min="13" max="13" width="16.7109375" style="18" bestFit="1" customWidth="1"/>
    <col min="14" max="14" width="18.140625" style="18" bestFit="1" customWidth="1"/>
    <col min="15" max="15" width="25.5703125" style="18" bestFit="1" customWidth="1"/>
    <col min="16" max="16" width="19.42578125" style="18" bestFit="1" customWidth="1"/>
    <col min="17" max="17" width="19.85546875" style="18" bestFit="1" customWidth="1"/>
    <col min="18" max="18" width="7" style="18" bestFit="1" customWidth="1"/>
    <col min="19" max="19" width="9.85546875" style="18" bestFit="1" customWidth="1"/>
    <col min="20" max="20" width="15" style="18" bestFit="1" customWidth="1"/>
    <col min="21" max="21" width="9.85546875" style="18" bestFit="1" customWidth="1"/>
    <col min="22" max="22" width="10.42578125" style="18" bestFit="1" customWidth="1"/>
    <col min="23" max="23" width="12.7109375" style="18" bestFit="1" customWidth="1"/>
    <col min="24" max="24" width="12.5703125" style="18" bestFit="1" customWidth="1"/>
    <col min="25" max="25" width="18.42578125" style="18" bestFit="1" customWidth="1"/>
    <col min="26" max="26" width="17" style="18" bestFit="1" customWidth="1"/>
    <col min="27" max="27" width="14.7109375" style="18" bestFit="1" customWidth="1"/>
    <col min="28" max="28" width="17.5703125" style="18" bestFit="1" customWidth="1"/>
    <col min="29" max="29" width="22.85546875" style="18" bestFit="1" customWidth="1"/>
    <col min="30" max="30" width="8.5703125" style="18" bestFit="1" customWidth="1"/>
    <col min="31" max="31" width="17.140625" style="18" bestFit="1" customWidth="1"/>
    <col min="32" max="16384" width="10.140625" style="18"/>
  </cols>
  <sheetData>
    <row r="1" spans="1:31" x14ac:dyDescent="0.25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</row>
    <row r="2" spans="1:31" x14ac:dyDescent="0.25">
      <c r="A2" s="18" t="s">
        <v>97</v>
      </c>
      <c r="B2" s="18" t="s">
        <v>30</v>
      </c>
      <c r="C2" s="18" t="s">
        <v>31</v>
      </c>
      <c r="D2" s="18" t="s">
        <v>32</v>
      </c>
      <c r="E2" s="18" t="s">
        <v>33</v>
      </c>
      <c r="F2" s="18" t="s">
        <v>34</v>
      </c>
      <c r="G2" s="18" t="s">
        <v>35</v>
      </c>
      <c r="H2" s="18" t="s">
        <v>36</v>
      </c>
      <c r="I2" s="18" t="s">
        <v>37</v>
      </c>
      <c r="J2" s="18" t="s">
        <v>38</v>
      </c>
      <c r="K2" s="18" t="s">
        <v>39</v>
      </c>
      <c r="L2" s="18" t="s">
        <v>40</v>
      </c>
      <c r="M2" s="18" t="s">
        <v>41</v>
      </c>
      <c r="N2" s="18" t="s">
        <v>42</v>
      </c>
      <c r="O2" s="18" t="s">
        <v>43</v>
      </c>
      <c r="P2" s="18" t="s">
        <v>44</v>
      </c>
      <c r="Q2" s="18" t="s">
        <v>45</v>
      </c>
      <c r="R2" s="18" t="s">
        <v>46</v>
      </c>
      <c r="S2" s="18" t="s">
        <v>47</v>
      </c>
      <c r="T2" s="18" t="s">
        <v>48</v>
      </c>
      <c r="U2" s="18" t="s">
        <v>49</v>
      </c>
      <c r="V2" s="18" t="s">
        <v>50</v>
      </c>
      <c r="W2" s="18" t="s">
        <v>51</v>
      </c>
      <c r="X2" s="18" t="s">
        <v>52</v>
      </c>
      <c r="Y2" s="18" t="s">
        <v>53</v>
      </c>
      <c r="Z2" s="18" t="s">
        <v>54</v>
      </c>
      <c r="AA2" s="18" t="s">
        <v>55</v>
      </c>
      <c r="AB2" s="18" t="s">
        <v>56</v>
      </c>
      <c r="AC2" s="18" t="s">
        <v>57</v>
      </c>
      <c r="AD2" s="18" t="s">
        <v>58</v>
      </c>
      <c r="AE2" s="18" t="s">
        <v>59</v>
      </c>
    </row>
    <row r="3" spans="1:31" x14ac:dyDescent="0.25">
      <c r="A3" s="18" t="str">
        <f>D3&amp;F3</f>
        <v>M241205</v>
      </c>
      <c r="B3" s="18" t="s">
        <v>60</v>
      </c>
      <c r="C3" s="19">
        <v>45596</v>
      </c>
      <c r="D3" s="18" t="s">
        <v>61</v>
      </c>
      <c r="E3" s="18" t="s">
        <v>62</v>
      </c>
      <c r="F3" s="20">
        <v>241205</v>
      </c>
      <c r="G3" s="19">
        <v>45631</v>
      </c>
      <c r="H3" s="18">
        <v>104.00139</v>
      </c>
      <c r="I3" s="18">
        <v>99.918057000000005</v>
      </c>
      <c r="J3" s="18">
        <v>4.0833329999999997</v>
      </c>
      <c r="K3" s="18">
        <v>35</v>
      </c>
      <c r="L3" s="18">
        <v>0</v>
      </c>
      <c r="M3" s="18">
        <v>104.031362</v>
      </c>
      <c r="N3" s="18">
        <v>99.920250999999993</v>
      </c>
      <c r="O3" s="18">
        <v>4.1111110000000002</v>
      </c>
      <c r="P3" s="18">
        <v>34</v>
      </c>
      <c r="Q3" s="18">
        <v>0</v>
      </c>
      <c r="R3" s="18">
        <v>7280</v>
      </c>
      <c r="S3" s="18">
        <v>0</v>
      </c>
      <c r="T3" s="18" t="s">
        <v>63</v>
      </c>
      <c r="U3" s="18">
        <v>1</v>
      </c>
      <c r="V3" s="18">
        <v>9.2255000000000004E-2</v>
      </c>
      <c r="W3" s="18">
        <v>5.2768000000000002E-2</v>
      </c>
      <c r="X3" s="20">
        <v>10.65</v>
      </c>
      <c r="Y3" s="18" t="s">
        <v>64</v>
      </c>
      <c r="Z3" s="18">
        <v>45449</v>
      </c>
      <c r="AA3" s="18">
        <v>45631</v>
      </c>
      <c r="AB3" s="20">
        <v>0.1</v>
      </c>
      <c r="AC3" s="18">
        <v>0.1</v>
      </c>
      <c r="AD3" s="18" t="s">
        <v>65</v>
      </c>
      <c r="AE3" s="18" t="s">
        <v>66</v>
      </c>
    </row>
    <row r="4" spans="1:31" x14ac:dyDescent="0.25">
      <c r="A4" s="18" t="str">
        <f t="shared" ref="A4:A18" si="0">D4&amp;F4</f>
        <v>M250306</v>
      </c>
      <c r="B4" s="18" t="s">
        <v>60</v>
      </c>
      <c r="C4" s="19">
        <v>45596</v>
      </c>
      <c r="D4" s="18" t="s">
        <v>61</v>
      </c>
      <c r="E4" s="18" t="s">
        <v>62</v>
      </c>
      <c r="F4" s="20">
        <v>250306</v>
      </c>
      <c r="G4" s="19">
        <v>45722</v>
      </c>
      <c r="H4" s="18">
        <v>98.865583999999998</v>
      </c>
      <c r="I4" s="18">
        <v>98.087806</v>
      </c>
      <c r="J4" s="18">
        <v>0.77777799999999997</v>
      </c>
      <c r="K4" s="18">
        <v>126</v>
      </c>
      <c r="L4" s="18">
        <v>0</v>
      </c>
      <c r="M4" s="18">
        <v>98.894127999999995</v>
      </c>
      <c r="N4" s="18">
        <v>98.102461000000005</v>
      </c>
      <c r="O4" s="18">
        <v>0.79166700000000001</v>
      </c>
      <c r="P4" s="18">
        <v>125</v>
      </c>
      <c r="Q4" s="18">
        <v>0</v>
      </c>
      <c r="R4" s="18">
        <v>1274</v>
      </c>
      <c r="S4" s="18">
        <v>0</v>
      </c>
      <c r="T4" s="18" t="s">
        <v>63</v>
      </c>
      <c r="U4" s="18">
        <v>1</v>
      </c>
      <c r="V4" s="18">
        <v>0.33208599999999999</v>
      </c>
      <c r="W4" s="18">
        <v>0.26957700000000001</v>
      </c>
      <c r="X4" s="20">
        <v>10.67</v>
      </c>
      <c r="Y4" s="18" t="s">
        <v>67</v>
      </c>
      <c r="Z4" s="18">
        <v>45540</v>
      </c>
      <c r="AA4" s="18">
        <v>45722</v>
      </c>
      <c r="AB4" s="20">
        <v>0.05</v>
      </c>
      <c r="AC4" s="18">
        <v>0.05</v>
      </c>
      <c r="AD4" s="18" t="s">
        <v>65</v>
      </c>
      <c r="AE4" s="18" t="s">
        <v>68</v>
      </c>
    </row>
    <row r="5" spans="1:31" x14ac:dyDescent="0.25">
      <c r="A5" s="18" t="str">
        <f t="shared" si="0"/>
        <v>M260305</v>
      </c>
      <c r="B5" s="18" t="s">
        <v>60</v>
      </c>
      <c r="C5" s="19">
        <v>45596</v>
      </c>
      <c r="D5" s="18" t="s">
        <v>61</v>
      </c>
      <c r="E5" s="18" t="s">
        <v>62</v>
      </c>
      <c r="F5" s="20">
        <v>260305</v>
      </c>
      <c r="G5" s="19">
        <v>46086</v>
      </c>
      <c r="H5" s="18">
        <v>95.379181000000003</v>
      </c>
      <c r="I5" s="18">
        <v>94.484736999999996</v>
      </c>
      <c r="J5" s="18">
        <v>0.89444400000000002</v>
      </c>
      <c r="K5" s="18">
        <v>490</v>
      </c>
      <c r="L5" s="18">
        <v>0</v>
      </c>
      <c r="M5" s="18">
        <v>95.405484999999999</v>
      </c>
      <c r="N5" s="18">
        <v>94.495068000000003</v>
      </c>
      <c r="O5" s="18">
        <v>0.91041700000000003</v>
      </c>
      <c r="P5" s="18">
        <v>489</v>
      </c>
      <c r="Q5" s="18">
        <v>0</v>
      </c>
      <c r="R5" s="18">
        <v>3822</v>
      </c>
      <c r="S5" s="18">
        <v>0</v>
      </c>
      <c r="T5" s="18" t="s">
        <v>63</v>
      </c>
      <c r="U5" s="18">
        <v>1</v>
      </c>
      <c r="V5" s="18">
        <v>1.252721</v>
      </c>
      <c r="W5" s="18">
        <v>2.2035809999999998</v>
      </c>
      <c r="X5" s="20">
        <v>10.18</v>
      </c>
      <c r="Y5" s="18" t="s">
        <v>69</v>
      </c>
      <c r="Z5" s="18">
        <v>45540</v>
      </c>
      <c r="AA5" s="18">
        <v>45722</v>
      </c>
      <c r="AB5" s="20">
        <v>5.7500000000000002E-2</v>
      </c>
      <c r="AC5" s="18">
        <v>5.7500000000000002E-2</v>
      </c>
      <c r="AD5" s="18" t="s">
        <v>65</v>
      </c>
      <c r="AE5" s="18" t="s">
        <v>70</v>
      </c>
    </row>
    <row r="6" spans="1:31" x14ac:dyDescent="0.25">
      <c r="A6" s="18" t="str">
        <f t="shared" si="0"/>
        <v>M260903</v>
      </c>
      <c r="B6" s="18" t="s">
        <v>60</v>
      </c>
      <c r="C6" s="19">
        <v>45596</v>
      </c>
      <c r="D6" s="18" t="s">
        <v>61</v>
      </c>
      <c r="E6" s="18" t="s">
        <v>62</v>
      </c>
      <c r="F6" s="20">
        <v>260903</v>
      </c>
      <c r="G6" s="19">
        <v>46268</v>
      </c>
      <c r="H6" s="18">
        <v>95.722200000000001</v>
      </c>
      <c r="I6" s="18">
        <v>94.633311000000006</v>
      </c>
      <c r="J6" s="18">
        <v>1.088889</v>
      </c>
      <c r="K6" s="18">
        <v>672</v>
      </c>
      <c r="L6" s="18">
        <v>0</v>
      </c>
      <c r="M6" s="18">
        <v>95.748699000000002</v>
      </c>
      <c r="N6" s="18">
        <v>94.640366</v>
      </c>
      <c r="O6" s="18">
        <v>1.108333</v>
      </c>
      <c r="P6" s="18">
        <v>671</v>
      </c>
      <c r="Q6" s="18">
        <v>0</v>
      </c>
      <c r="R6" s="18">
        <v>1274</v>
      </c>
      <c r="S6" s="18">
        <v>0</v>
      </c>
      <c r="T6" s="18" t="s">
        <v>63</v>
      </c>
      <c r="U6" s="18">
        <v>1</v>
      </c>
      <c r="V6" s="18">
        <v>1.675311</v>
      </c>
      <c r="W6" s="18">
        <v>3.7151860000000001</v>
      </c>
      <c r="X6" s="20">
        <v>10.220000000000001</v>
      </c>
      <c r="Y6" s="18" t="s">
        <v>71</v>
      </c>
      <c r="Z6" s="18">
        <v>45540</v>
      </c>
      <c r="AA6" s="18">
        <v>45722</v>
      </c>
      <c r="AB6" s="20">
        <v>7.0000000000000007E-2</v>
      </c>
      <c r="AC6" s="18">
        <v>7.0000000000000007E-2</v>
      </c>
      <c r="AD6" s="18" t="s">
        <v>65</v>
      </c>
      <c r="AE6" s="18" t="s">
        <v>72</v>
      </c>
    </row>
    <row r="7" spans="1:31" x14ac:dyDescent="0.25">
      <c r="A7" s="18" t="str">
        <f t="shared" si="0"/>
        <v>M270304</v>
      </c>
      <c r="B7" s="18" t="s">
        <v>60</v>
      </c>
      <c r="C7" s="19">
        <v>45596</v>
      </c>
      <c r="D7" s="18" t="s">
        <v>61</v>
      </c>
      <c r="E7" s="18" t="s">
        <v>62</v>
      </c>
      <c r="F7" s="20">
        <v>270304</v>
      </c>
      <c r="G7" s="19">
        <v>46450</v>
      </c>
      <c r="H7" s="18">
        <v>91.719417000000007</v>
      </c>
      <c r="I7" s="18">
        <v>90.863861</v>
      </c>
      <c r="J7" s="18">
        <v>0.85555599999999998</v>
      </c>
      <c r="K7" s="18">
        <v>854</v>
      </c>
      <c r="L7" s="18">
        <v>0</v>
      </c>
      <c r="M7" s="18">
        <v>91.744056999999998</v>
      </c>
      <c r="N7" s="18">
        <v>90.873223999999993</v>
      </c>
      <c r="O7" s="18">
        <v>0.87083299999999997</v>
      </c>
      <c r="P7" s="18">
        <v>853</v>
      </c>
      <c r="Q7" s="18">
        <v>0</v>
      </c>
      <c r="R7" s="18">
        <v>2002</v>
      </c>
      <c r="S7" s="18">
        <v>0</v>
      </c>
      <c r="T7" s="18" t="s">
        <v>63</v>
      </c>
      <c r="U7" s="18">
        <v>1</v>
      </c>
      <c r="V7" s="18">
        <v>2.1245210000000001</v>
      </c>
      <c r="W7" s="18">
        <v>5.7157229999999997</v>
      </c>
      <c r="X7" s="20">
        <v>9.91</v>
      </c>
      <c r="Y7" s="18" t="s">
        <v>73</v>
      </c>
      <c r="Z7" s="18">
        <v>45540</v>
      </c>
      <c r="AA7" s="18">
        <v>45722</v>
      </c>
      <c r="AB7" s="20">
        <v>5.5E-2</v>
      </c>
      <c r="AC7" s="18">
        <v>5.5E-2</v>
      </c>
      <c r="AD7" s="18" t="s">
        <v>65</v>
      </c>
      <c r="AE7" s="18" t="s">
        <v>74</v>
      </c>
    </row>
    <row r="8" spans="1:31" x14ac:dyDescent="0.25">
      <c r="A8" s="18" t="str">
        <f t="shared" si="0"/>
        <v>M270603</v>
      </c>
      <c r="B8" s="18" t="s">
        <v>60</v>
      </c>
      <c r="C8" s="19">
        <v>45596</v>
      </c>
      <c r="D8" s="18" t="s">
        <v>61</v>
      </c>
      <c r="E8" s="18" t="s">
        <v>62</v>
      </c>
      <c r="F8" s="20">
        <v>270603</v>
      </c>
      <c r="G8" s="19">
        <v>46541</v>
      </c>
      <c r="H8" s="18">
        <v>97.683757</v>
      </c>
      <c r="I8" s="18">
        <v>94.621257</v>
      </c>
      <c r="J8" s="18">
        <v>3.0625</v>
      </c>
      <c r="K8" s="18">
        <v>945</v>
      </c>
      <c r="L8" s="18">
        <v>0</v>
      </c>
      <c r="M8" s="18">
        <v>97.709895000000003</v>
      </c>
      <c r="N8" s="18">
        <v>94.626562000000007</v>
      </c>
      <c r="O8" s="18">
        <v>3.0833330000000001</v>
      </c>
      <c r="P8" s="18">
        <v>944</v>
      </c>
      <c r="Q8" s="18">
        <v>0</v>
      </c>
      <c r="R8" s="18">
        <v>7462</v>
      </c>
      <c r="S8" s="18">
        <v>0</v>
      </c>
      <c r="T8" s="18" t="s">
        <v>63</v>
      </c>
      <c r="U8" s="18">
        <v>1</v>
      </c>
      <c r="V8" s="18">
        <v>2.2394769999999999</v>
      </c>
      <c r="W8" s="18">
        <v>6.4953760000000003</v>
      </c>
      <c r="X8" s="20">
        <v>9.8699999999999992</v>
      </c>
      <c r="Y8" s="18" t="s">
        <v>75</v>
      </c>
      <c r="Z8" s="18">
        <v>45449</v>
      </c>
      <c r="AA8" s="18">
        <v>45631</v>
      </c>
      <c r="AB8" s="20">
        <v>7.4999999999999997E-2</v>
      </c>
      <c r="AC8" s="18">
        <v>7.4999999999999997E-2</v>
      </c>
      <c r="AD8" s="18" t="s">
        <v>65</v>
      </c>
      <c r="AE8" s="18" t="s">
        <v>76</v>
      </c>
    </row>
    <row r="9" spans="1:31" x14ac:dyDescent="0.25">
      <c r="A9" s="18" t="str">
        <f t="shared" si="0"/>
        <v>M290301</v>
      </c>
      <c r="B9" s="18" t="s">
        <v>60</v>
      </c>
      <c r="C9" s="19">
        <v>45596</v>
      </c>
      <c r="D9" s="18" t="s">
        <v>61</v>
      </c>
      <c r="E9" s="18" t="s">
        <v>62</v>
      </c>
      <c r="F9" s="20">
        <v>290301</v>
      </c>
      <c r="G9" s="19">
        <v>47178</v>
      </c>
      <c r="H9" s="18">
        <v>96.205173000000002</v>
      </c>
      <c r="I9" s="18">
        <v>94.882951000000006</v>
      </c>
      <c r="J9" s="18">
        <v>1.322222</v>
      </c>
      <c r="K9" s="18">
        <v>1582</v>
      </c>
      <c r="L9" s="18">
        <v>0</v>
      </c>
      <c r="M9" s="18">
        <v>96.231144999999998</v>
      </c>
      <c r="N9" s="18">
        <v>94.885311999999999</v>
      </c>
      <c r="O9" s="18">
        <v>1.3458330000000001</v>
      </c>
      <c r="P9" s="18">
        <v>1581</v>
      </c>
      <c r="Q9" s="18">
        <v>0</v>
      </c>
      <c r="R9" s="18">
        <v>2184</v>
      </c>
      <c r="S9" s="18">
        <v>0</v>
      </c>
      <c r="T9" s="18" t="s">
        <v>63</v>
      </c>
      <c r="U9" s="18">
        <v>1</v>
      </c>
      <c r="V9" s="18">
        <v>3.5136280000000002</v>
      </c>
      <c r="W9" s="18">
        <v>15.47533</v>
      </c>
      <c r="X9" s="20">
        <v>9.9600000000000009</v>
      </c>
      <c r="Y9" s="18" t="s">
        <v>77</v>
      </c>
      <c r="Z9" s="18">
        <v>45540</v>
      </c>
      <c r="AA9" s="18">
        <v>45722</v>
      </c>
      <c r="AB9" s="20">
        <v>8.5000000000000006E-2</v>
      </c>
      <c r="AC9" s="18">
        <v>8.5000000000000006E-2</v>
      </c>
      <c r="AD9" s="18" t="s">
        <v>65</v>
      </c>
      <c r="AE9" s="18" t="s">
        <v>78</v>
      </c>
    </row>
    <row r="10" spans="1:31" x14ac:dyDescent="0.25">
      <c r="A10" s="18" t="str">
        <f t="shared" si="0"/>
        <v>M290531</v>
      </c>
      <c r="B10" s="18" t="s">
        <v>60</v>
      </c>
      <c r="C10" s="19">
        <v>45596</v>
      </c>
      <c r="D10" s="18" t="s">
        <v>61</v>
      </c>
      <c r="E10" s="18" t="s">
        <v>62</v>
      </c>
      <c r="F10" s="20">
        <v>290531</v>
      </c>
      <c r="G10" s="19">
        <v>47269</v>
      </c>
      <c r="H10" s="18">
        <v>98.304267999999993</v>
      </c>
      <c r="I10" s="18">
        <v>94.833434999999994</v>
      </c>
      <c r="J10" s="18">
        <v>3.4708329999999998</v>
      </c>
      <c r="K10" s="18">
        <v>1673</v>
      </c>
      <c r="L10" s="18">
        <v>0</v>
      </c>
      <c r="M10" s="18">
        <v>98.330676999999994</v>
      </c>
      <c r="N10" s="18">
        <v>94.836232999999993</v>
      </c>
      <c r="O10" s="18">
        <v>3.4944440000000001</v>
      </c>
      <c r="P10" s="18">
        <v>1672</v>
      </c>
      <c r="Q10" s="18">
        <v>0</v>
      </c>
      <c r="R10" s="18">
        <v>7463</v>
      </c>
      <c r="S10" s="18">
        <v>0</v>
      </c>
      <c r="T10" s="18" t="s">
        <v>63</v>
      </c>
      <c r="U10" s="18">
        <v>1</v>
      </c>
      <c r="V10" s="18">
        <v>3.5972729999999999</v>
      </c>
      <c r="W10" s="18">
        <v>16.603849</v>
      </c>
      <c r="X10" s="20">
        <v>9.91</v>
      </c>
      <c r="Y10" s="18" t="s">
        <v>79</v>
      </c>
      <c r="Z10" s="18">
        <v>45449</v>
      </c>
      <c r="AA10" s="18">
        <v>45631</v>
      </c>
      <c r="AB10" s="20">
        <v>8.5000000000000006E-2</v>
      </c>
      <c r="AC10" s="18">
        <v>8.5000000000000006E-2</v>
      </c>
      <c r="AD10" s="18" t="s">
        <v>65</v>
      </c>
      <c r="AE10" s="18" t="s">
        <v>80</v>
      </c>
    </row>
    <row r="11" spans="1:31" x14ac:dyDescent="0.25">
      <c r="A11" s="18" t="str">
        <f t="shared" si="0"/>
        <v>M310529</v>
      </c>
      <c r="B11" s="18" t="s">
        <v>60</v>
      </c>
      <c r="C11" s="19">
        <v>45596</v>
      </c>
      <c r="D11" s="18" t="s">
        <v>61</v>
      </c>
      <c r="E11" s="18" t="s">
        <v>62</v>
      </c>
      <c r="F11" s="20">
        <v>310529</v>
      </c>
      <c r="G11" s="19">
        <v>47997</v>
      </c>
      <c r="H11" s="18">
        <v>92.834834999999998</v>
      </c>
      <c r="I11" s="18">
        <v>89.670252000000005</v>
      </c>
      <c r="J11" s="18">
        <v>3.1645829999999999</v>
      </c>
      <c r="K11" s="18">
        <v>2401</v>
      </c>
      <c r="L11" s="18">
        <v>0</v>
      </c>
      <c r="M11" s="18">
        <v>92.859750000000005</v>
      </c>
      <c r="N11" s="18">
        <v>89.673638999999994</v>
      </c>
      <c r="O11" s="18">
        <v>3.1861109999999999</v>
      </c>
      <c r="P11" s="18">
        <v>2400</v>
      </c>
      <c r="Q11" s="18">
        <v>0</v>
      </c>
      <c r="R11" s="18">
        <v>7280</v>
      </c>
      <c r="S11" s="18">
        <v>0</v>
      </c>
      <c r="T11" s="18" t="s">
        <v>63</v>
      </c>
      <c r="U11" s="18">
        <v>1</v>
      </c>
      <c r="V11" s="18">
        <v>4.8272750000000002</v>
      </c>
      <c r="W11" s="18">
        <v>30.250088999999999</v>
      </c>
      <c r="X11" s="20">
        <v>9.9</v>
      </c>
      <c r="Y11" s="18" t="s">
        <v>81</v>
      </c>
      <c r="Z11" s="18">
        <v>45449</v>
      </c>
      <c r="AA11" s="18">
        <v>45631</v>
      </c>
      <c r="AB11" s="20">
        <v>7.7499999999999999E-2</v>
      </c>
      <c r="AC11" s="18">
        <v>7.7499999999999999E-2</v>
      </c>
      <c r="AD11" s="18" t="s">
        <v>65</v>
      </c>
      <c r="AE11" s="18" t="s">
        <v>82</v>
      </c>
    </row>
    <row r="12" spans="1:31" x14ac:dyDescent="0.25">
      <c r="A12" s="18" t="str">
        <f t="shared" si="0"/>
        <v>M330526</v>
      </c>
      <c r="B12" s="18" t="s">
        <v>60</v>
      </c>
      <c r="C12" s="19">
        <v>45596</v>
      </c>
      <c r="D12" s="18" t="s">
        <v>61</v>
      </c>
      <c r="E12" s="18" t="s">
        <v>62</v>
      </c>
      <c r="F12" s="20">
        <v>330526</v>
      </c>
      <c r="G12" s="19">
        <v>48725</v>
      </c>
      <c r="H12" s="18">
        <v>88.497390999999993</v>
      </c>
      <c r="I12" s="18">
        <v>85.434890999999993</v>
      </c>
      <c r="J12" s="18">
        <v>3.0625</v>
      </c>
      <c r="K12" s="18">
        <v>3129</v>
      </c>
      <c r="L12" s="18">
        <v>0</v>
      </c>
      <c r="M12" s="18">
        <v>88.521493000000007</v>
      </c>
      <c r="N12" s="18">
        <v>85.438159999999996</v>
      </c>
      <c r="O12" s="18">
        <v>3.0833330000000001</v>
      </c>
      <c r="P12" s="18">
        <v>3128</v>
      </c>
      <c r="Q12" s="18">
        <v>0</v>
      </c>
      <c r="R12" s="18">
        <v>3822</v>
      </c>
      <c r="S12" s="18">
        <v>0</v>
      </c>
      <c r="T12" s="18" t="s">
        <v>63</v>
      </c>
      <c r="U12" s="18">
        <v>1</v>
      </c>
      <c r="V12" s="18">
        <v>5.824884</v>
      </c>
      <c r="W12" s="18">
        <v>45.403371999999997</v>
      </c>
      <c r="X12" s="20">
        <v>10.050000000000001</v>
      </c>
      <c r="Y12" s="18" t="s">
        <v>83</v>
      </c>
      <c r="Z12" s="18">
        <v>45449</v>
      </c>
      <c r="AA12" s="18">
        <v>45631</v>
      </c>
      <c r="AB12" s="20">
        <v>7.4999999999999997E-2</v>
      </c>
      <c r="AC12" s="18">
        <v>7.4999999999999997E-2</v>
      </c>
      <c r="AD12" s="18" t="s">
        <v>65</v>
      </c>
      <c r="AE12" s="18" t="s">
        <v>84</v>
      </c>
    </row>
    <row r="13" spans="1:31" x14ac:dyDescent="0.25">
      <c r="A13" s="18" t="str">
        <f t="shared" si="0"/>
        <v>M341123</v>
      </c>
      <c r="B13" s="18" t="s">
        <v>60</v>
      </c>
      <c r="C13" s="19">
        <v>45596</v>
      </c>
      <c r="D13" s="18" t="s">
        <v>61</v>
      </c>
      <c r="E13" s="18" t="s">
        <v>62</v>
      </c>
      <c r="F13" s="20">
        <v>341123</v>
      </c>
      <c r="G13" s="19">
        <v>49271</v>
      </c>
      <c r="H13" s="18">
        <v>88.563563000000002</v>
      </c>
      <c r="I13" s="18">
        <v>85.398979999999995</v>
      </c>
      <c r="J13" s="18">
        <v>3.1645829999999999</v>
      </c>
      <c r="K13" s="18">
        <v>3675</v>
      </c>
      <c r="L13" s="18">
        <v>0</v>
      </c>
      <c r="M13" s="18">
        <v>88.587728999999996</v>
      </c>
      <c r="N13" s="18">
        <v>85.401617999999999</v>
      </c>
      <c r="O13" s="18">
        <v>3.1861109999999999</v>
      </c>
      <c r="P13" s="18">
        <v>3674</v>
      </c>
      <c r="Q13" s="18">
        <v>0</v>
      </c>
      <c r="R13" s="18">
        <v>7644</v>
      </c>
      <c r="S13" s="18">
        <v>0</v>
      </c>
      <c r="T13" s="18" t="s">
        <v>63</v>
      </c>
      <c r="U13" s="18">
        <v>1</v>
      </c>
      <c r="V13" s="18">
        <v>6.3921659999999996</v>
      </c>
      <c r="W13" s="18">
        <v>56.449210999999998</v>
      </c>
      <c r="X13" s="20">
        <v>10.07</v>
      </c>
      <c r="Y13" s="18" t="s">
        <v>85</v>
      </c>
      <c r="Z13" s="18">
        <v>45449</v>
      </c>
      <c r="AA13" s="18">
        <v>45631</v>
      </c>
      <c r="AB13" s="20">
        <v>7.7499999999999999E-2</v>
      </c>
      <c r="AC13" s="18">
        <v>7.7499999999999999E-2</v>
      </c>
      <c r="AD13" s="18" t="s">
        <v>65</v>
      </c>
      <c r="AE13" s="18" t="s">
        <v>86</v>
      </c>
    </row>
    <row r="14" spans="1:31" x14ac:dyDescent="0.25">
      <c r="A14" s="18" t="str">
        <f t="shared" si="0"/>
        <v>M361120</v>
      </c>
      <c r="B14" s="18" t="s">
        <v>60</v>
      </c>
      <c r="C14" s="19">
        <v>45596</v>
      </c>
      <c r="D14" s="18" t="s">
        <v>61</v>
      </c>
      <c r="E14" s="18" t="s">
        <v>62</v>
      </c>
      <c r="F14" s="20">
        <v>361120</v>
      </c>
      <c r="G14" s="19">
        <v>49999</v>
      </c>
      <c r="H14" s="18">
        <v>103.646952</v>
      </c>
      <c r="I14" s="18">
        <v>99.563619000000003</v>
      </c>
      <c r="J14" s="18">
        <v>4.0833329999999997</v>
      </c>
      <c r="K14" s="18">
        <v>4403</v>
      </c>
      <c r="L14" s="18">
        <v>0</v>
      </c>
      <c r="M14" s="18">
        <v>103.675207</v>
      </c>
      <c r="N14" s="18">
        <v>99.564096000000006</v>
      </c>
      <c r="O14" s="18">
        <v>4.1111110000000002</v>
      </c>
      <c r="P14" s="18">
        <v>4402</v>
      </c>
      <c r="Q14" s="18">
        <v>0</v>
      </c>
      <c r="R14" s="18">
        <v>11102</v>
      </c>
      <c r="S14" s="18">
        <v>0</v>
      </c>
      <c r="T14" s="18" t="s">
        <v>63</v>
      </c>
      <c r="U14" s="18">
        <v>1</v>
      </c>
      <c r="V14" s="18">
        <v>6.6843669999999999</v>
      </c>
      <c r="W14" s="18">
        <v>65.867727000000002</v>
      </c>
      <c r="X14" s="20">
        <v>10.06</v>
      </c>
      <c r="Y14" s="18" t="s">
        <v>87</v>
      </c>
      <c r="Z14" s="18">
        <v>45449</v>
      </c>
      <c r="AA14" s="18">
        <v>45631</v>
      </c>
      <c r="AB14" s="20">
        <v>0.1</v>
      </c>
      <c r="AC14" s="18">
        <v>0.1</v>
      </c>
      <c r="AD14" s="18" t="s">
        <v>65</v>
      </c>
      <c r="AE14" s="18" t="s">
        <v>88</v>
      </c>
    </row>
    <row r="15" spans="1:31" x14ac:dyDescent="0.25">
      <c r="A15" s="18" t="str">
        <f t="shared" si="0"/>
        <v>M381118</v>
      </c>
      <c r="B15" s="18" t="s">
        <v>60</v>
      </c>
      <c r="C15" s="19">
        <v>45596</v>
      </c>
      <c r="D15" s="18" t="s">
        <v>61</v>
      </c>
      <c r="E15" s="18" t="s">
        <v>62</v>
      </c>
      <c r="F15" s="20">
        <v>381118</v>
      </c>
      <c r="G15" s="19">
        <v>50727</v>
      </c>
      <c r="H15" s="18">
        <v>91.095962</v>
      </c>
      <c r="I15" s="18">
        <v>87.625129000000001</v>
      </c>
      <c r="J15" s="18">
        <v>3.4708329999999998</v>
      </c>
      <c r="K15" s="18">
        <v>5131</v>
      </c>
      <c r="L15" s="18">
        <v>0</v>
      </c>
      <c r="M15" s="18">
        <v>91.121036000000004</v>
      </c>
      <c r="N15" s="18">
        <v>87.626592000000002</v>
      </c>
      <c r="O15" s="18">
        <v>3.4944440000000001</v>
      </c>
      <c r="P15" s="18">
        <v>5130</v>
      </c>
      <c r="Q15" s="18">
        <v>0</v>
      </c>
      <c r="R15" s="18">
        <v>10921</v>
      </c>
      <c r="S15" s="18">
        <v>0</v>
      </c>
      <c r="T15" s="18" t="s">
        <v>63</v>
      </c>
      <c r="U15" s="18">
        <v>1</v>
      </c>
      <c r="V15" s="18">
        <v>7.4311879999999997</v>
      </c>
      <c r="W15" s="18">
        <v>83.195295000000002</v>
      </c>
      <c r="X15" s="20">
        <v>10.16</v>
      </c>
      <c r="Y15" s="18" t="s">
        <v>89</v>
      </c>
      <c r="Z15" s="18">
        <v>45449</v>
      </c>
      <c r="AA15" s="18">
        <v>45631</v>
      </c>
      <c r="AB15" s="20">
        <v>8.5000000000000006E-2</v>
      </c>
      <c r="AC15" s="18">
        <v>8.5000000000000006E-2</v>
      </c>
      <c r="AD15" s="18" t="s">
        <v>65</v>
      </c>
      <c r="AE15" s="18" t="s">
        <v>90</v>
      </c>
    </row>
    <row r="16" spans="1:31" x14ac:dyDescent="0.25">
      <c r="A16" s="18" t="str">
        <f t="shared" si="0"/>
        <v>M421113</v>
      </c>
      <c r="B16" s="18" t="s">
        <v>60</v>
      </c>
      <c r="C16" s="19">
        <v>45596</v>
      </c>
      <c r="D16" s="18" t="s">
        <v>61</v>
      </c>
      <c r="E16" s="18" t="s">
        <v>62</v>
      </c>
      <c r="F16" s="20">
        <v>421113</v>
      </c>
      <c r="G16" s="19">
        <v>52183</v>
      </c>
      <c r="H16" s="18">
        <v>82.130287999999993</v>
      </c>
      <c r="I16" s="18">
        <v>78.965705</v>
      </c>
      <c r="J16" s="18">
        <v>3.1645829999999999</v>
      </c>
      <c r="K16" s="18">
        <v>6587</v>
      </c>
      <c r="L16" s="18">
        <v>0</v>
      </c>
      <c r="M16" s="18">
        <v>82.153262999999995</v>
      </c>
      <c r="N16" s="18">
        <v>78.967151999999999</v>
      </c>
      <c r="O16" s="18">
        <v>3.1861109999999999</v>
      </c>
      <c r="P16" s="18">
        <v>6586</v>
      </c>
      <c r="Q16" s="18">
        <v>0</v>
      </c>
      <c r="R16" s="18">
        <v>11284</v>
      </c>
      <c r="S16" s="18">
        <v>0</v>
      </c>
      <c r="T16" s="18" t="s">
        <v>63</v>
      </c>
      <c r="U16" s="18">
        <v>1</v>
      </c>
      <c r="V16" s="18">
        <v>8.2815279999999998</v>
      </c>
      <c r="W16" s="18">
        <v>110.32975</v>
      </c>
      <c r="X16" s="20">
        <v>10.33</v>
      </c>
      <c r="Y16" s="18" t="s">
        <v>91</v>
      </c>
      <c r="Z16" s="18">
        <v>45449</v>
      </c>
      <c r="AA16" s="18">
        <v>45631</v>
      </c>
      <c r="AB16" s="20">
        <v>7.7499999999999999E-2</v>
      </c>
      <c r="AC16" s="18">
        <v>7.7499999999999999E-2</v>
      </c>
      <c r="AD16" s="18" t="s">
        <v>65</v>
      </c>
      <c r="AE16" s="18" t="s">
        <v>92</v>
      </c>
    </row>
    <row r="17" spans="1:31" x14ac:dyDescent="0.25">
      <c r="A17" s="18" t="str">
        <f t="shared" si="0"/>
        <v>M471107</v>
      </c>
      <c r="B17" s="18" t="s">
        <v>60</v>
      </c>
      <c r="C17" s="19">
        <v>45596</v>
      </c>
      <c r="D17" s="18" t="s">
        <v>61</v>
      </c>
      <c r="E17" s="18" t="s">
        <v>62</v>
      </c>
      <c r="F17" s="20">
        <v>471107</v>
      </c>
      <c r="G17" s="19">
        <v>54003</v>
      </c>
      <c r="H17" s="18">
        <v>82.842904000000004</v>
      </c>
      <c r="I17" s="18">
        <v>79.576237000000006</v>
      </c>
      <c r="J17" s="18">
        <v>3.266667</v>
      </c>
      <c r="K17" s="18">
        <v>8407</v>
      </c>
      <c r="L17" s="18">
        <v>0</v>
      </c>
      <c r="M17" s="18">
        <v>82.866078000000002</v>
      </c>
      <c r="N17" s="18">
        <v>79.577189000000004</v>
      </c>
      <c r="O17" s="18">
        <v>3.2888890000000002</v>
      </c>
      <c r="P17" s="18">
        <v>8406</v>
      </c>
      <c r="Q17" s="18">
        <v>0</v>
      </c>
      <c r="R17" s="18">
        <v>11214</v>
      </c>
      <c r="S17" s="18">
        <v>0</v>
      </c>
      <c r="T17" s="18" t="s">
        <v>63</v>
      </c>
      <c r="U17" s="18">
        <v>1</v>
      </c>
      <c r="V17" s="18">
        <v>8.7651810000000001</v>
      </c>
      <c r="W17" s="18">
        <v>133.321811</v>
      </c>
      <c r="X17" s="20">
        <v>10.33</v>
      </c>
      <c r="Y17" s="18" t="s">
        <v>93</v>
      </c>
      <c r="Z17" s="18">
        <v>45449</v>
      </c>
      <c r="AA17" s="18">
        <v>45631</v>
      </c>
      <c r="AB17" s="20">
        <v>0.08</v>
      </c>
      <c r="AC17" s="18">
        <v>0.08</v>
      </c>
      <c r="AD17" s="18" t="s">
        <v>65</v>
      </c>
      <c r="AE17" s="18" t="s">
        <v>94</v>
      </c>
    </row>
    <row r="18" spans="1:31" x14ac:dyDescent="0.25">
      <c r="A18" s="18" t="str">
        <f t="shared" si="0"/>
        <v>M530731</v>
      </c>
      <c r="B18" s="18" t="s">
        <v>60</v>
      </c>
      <c r="C18" s="19">
        <v>45596</v>
      </c>
      <c r="D18" s="18" t="s">
        <v>61</v>
      </c>
      <c r="E18" s="18" t="s">
        <v>62</v>
      </c>
      <c r="F18" s="20">
        <v>530731</v>
      </c>
      <c r="G18" s="19">
        <v>56096</v>
      </c>
      <c r="H18" s="18">
        <v>79.788804999999996</v>
      </c>
      <c r="I18" s="18">
        <v>78.544360999999995</v>
      </c>
      <c r="J18" s="18">
        <v>1.2444440000000001</v>
      </c>
      <c r="K18" s="18">
        <v>10500</v>
      </c>
      <c r="L18" s="18">
        <v>0</v>
      </c>
      <c r="M18" s="18">
        <v>79.811145999999994</v>
      </c>
      <c r="N18" s="18">
        <v>78.544478999999995</v>
      </c>
      <c r="O18" s="18">
        <v>1.266667</v>
      </c>
      <c r="P18" s="18">
        <v>10499</v>
      </c>
      <c r="Q18" s="18">
        <v>0</v>
      </c>
      <c r="R18" s="18">
        <v>11466</v>
      </c>
      <c r="S18" s="18">
        <v>0</v>
      </c>
      <c r="T18" s="18" t="s">
        <v>63</v>
      </c>
      <c r="U18" s="18">
        <v>1</v>
      </c>
      <c r="V18" s="18">
        <v>9.3003160000000005</v>
      </c>
      <c r="W18" s="18">
        <v>156.03058799999999</v>
      </c>
      <c r="X18" s="20">
        <v>10.34</v>
      </c>
      <c r="Y18" s="18" t="s">
        <v>95</v>
      </c>
      <c r="Z18" s="18">
        <v>45540</v>
      </c>
      <c r="AA18" s="18">
        <v>45722</v>
      </c>
      <c r="AB18" s="20">
        <v>0.08</v>
      </c>
      <c r="AC18" s="18">
        <v>0.08</v>
      </c>
      <c r="AD18" s="18" t="s">
        <v>65</v>
      </c>
      <c r="AE18" s="18" t="s">
        <v>96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2B1B5-D4C6-473A-81FF-DF29486728E3}">
  <sheetPr codeName="Hoja5"/>
  <dimension ref="A1"/>
  <sheetViews>
    <sheetView workbookViewId="0">
      <selection activeCell="D5" sqref="D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Calendario 1</vt:lpstr>
      <vt:lpstr>M052931 20NOV20</vt:lpstr>
      <vt:lpstr>Clase 19 de junio</vt:lpstr>
      <vt:lpstr>Bonos M</vt:lpstr>
      <vt:lpstr>mi1rachamba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Montserrat Martinez Mendoza</dc:creator>
  <cp:lastModifiedBy>Montserrat Martinez Mendoza</cp:lastModifiedBy>
  <dcterms:created xsi:type="dcterms:W3CDTF">2025-06-19T05:49:47Z</dcterms:created>
  <dcterms:modified xsi:type="dcterms:W3CDTF">2025-06-26T23:24:09Z</dcterms:modified>
</cp:coreProperties>
</file>